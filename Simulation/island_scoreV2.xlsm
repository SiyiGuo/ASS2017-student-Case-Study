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iyi\Google Drive\ASS2017 Case Study\Simulation\"/>
    </mc:Choice>
  </mc:AlternateContent>
  <bookViews>
    <workbookView xWindow="0" yWindow="0" windowWidth="16200" windowHeight="26040" tabRatio="500"/>
  </bookViews>
  <sheets>
    <sheet name="Current Environmental Data" sheetId="1" r:id="rId1"/>
    <sheet name="Historical Sea Level Data" sheetId="5" r:id="rId2"/>
    <sheet name="Zone Adjacency Matrix" sheetId="3" r:id="rId3"/>
    <sheet name="Allocation of Zones" sheetId="4" r:id="rId4"/>
  </sheets>
  <definedNames>
    <definedName name="CoastalZones">'Allocation of Zones'!$F$2:$F$7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C77" i="1" l="1"/>
  <c r="C73" i="1"/>
  <c r="C69" i="1"/>
  <c r="C65" i="1"/>
  <c r="C61" i="1"/>
  <c r="C72" i="1"/>
  <c r="C68" i="1"/>
  <c r="C64" i="1"/>
  <c r="C60" i="1"/>
  <c r="C75" i="1"/>
  <c r="C71" i="1"/>
  <c r="C67" i="1"/>
  <c r="C63" i="1"/>
  <c r="C59" i="1"/>
  <c r="C70" i="1"/>
  <c r="C66" i="1"/>
  <c r="C62" i="1"/>
  <c r="C58" i="1"/>
  <c r="F76" i="1"/>
  <c r="F77" i="1"/>
  <c r="F73" i="1"/>
  <c r="F69" i="1"/>
  <c r="F65" i="1"/>
  <c r="F61" i="1"/>
  <c r="F62" i="1"/>
  <c r="F72" i="1"/>
  <c r="F68" i="1"/>
  <c r="F64" i="1"/>
  <c r="F60" i="1"/>
  <c r="F66" i="1"/>
  <c r="F75" i="1"/>
  <c r="F71" i="1"/>
  <c r="F67" i="1"/>
  <c r="F63" i="1"/>
  <c r="F59" i="1"/>
  <c r="F74" i="1"/>
  <c r="F70" i="1"/>
  <c r="F58" i="1"/>
  <c r="E77" i="1"/>
  <c r="E73" i="1"/>
  <c r="E69" i="1"/>
  <c r="E65" i="1"/>
  <c r="E61" i="1"/>
  <c r="E74" i="1"/>
  <c r="E62" i="1"/>
  <c r="E76" i="1"/>
  <c r="E72" i="1"/>
  <c r="E68" i="1"/>
  <c r="E64" i="1"/>
  <c r="E60" i="1"/>
  <c r="E70" i="1"/>
  <c r="E75" i="1"/>
  <c r="E71" i="1"/>
  <c r="E67" i="1"/>
  <c r="E63" i="1"/>
  <c r="E59" i="1"/>
  <c r="E66" i="1"/>
  <c r="E58" i="1"/>
  <c r="D77" i="1"/>
  <c r="D73" i="1"/>
  <c r="D69" i="1"/>
  <c r="D65" i="1"/>
  <c r="D61" i="1"/>
  <c r="D70" i="1"/>
  <c r="D76" i="1"/>
  <c r="D72" i="1"/>
  <c r="D68" i="1"/>
  <c r="D64" i="1"/>
  <c r="D60" i="1"/>
  <c r="D59" i="1"/>
  <c r="D66" i="1"/>
  <c r="D75" i="1"/>
  <c r="D71" i="1"/>
  <c r="D67" i="1"/>
  <c r="D63" i="1"/>
  <c r="D74" i="1"/>
  <c r="D62" i="1"/>
  <c r="D58" i="1"/>
  <c r="J33" i="1"/>
  <c r="J34" i="1"/>
  <c r="J35" i="1"/>
  <c r="J36" i="1"/>
  <c r="J37" i="1"/>
  <c r="J38" i="1"/>
  <c r="J39" i="1"/>
  <c r="J40" i="1"/>
  <c r="J41" i="1"/>
  <c r="J42" i="1"/>
  <c r="J43" i="1"/>
  <c r="J44" i="1"/>
  <c r="J45" i="1"/>
  <c r="J46" i="1"/>
  <c r="J47" i="1"/>
  <c r="J48" i="1"/>
  <c r="J49" i="1"/>
  <c r="J50" i="1"/>
  <c r="J51" i="1"/>
  <c r="J52" i="1"/>
  <c r="B73" i="1"/>
  <c r="B76" i="1"/>
  <c r="B60" i="1"/>
  <c r="B63" i="1"/>
  <c r="B62" i="1"/>
  <c r="B69" i="1"/>
  <c r="B72" i="1"/>
  <c r="B75" i="1"/>
  <c r="B74" i="1"/>
  <c r="B59" i="1"/>
  <c r="B65" i="1"/>
  <c r="B68" i="1"/>
  <c r="B71" i="1"/>
  <c r="B70" i="1"/>
  <c r="B58" i="1"/>
  <c r="B77" i="1"/>
  <c r="B61" i="1"/>
  <c r="B64" i="1"/>
  <c r="B67" i="1"/>
  <c r="B66" i="1"/>
  <c r="C79" i="1" l="1"/>
  <c r="J53" i="1"/>
  <c r="H53" i="1"/>
  <c r="H52" i="1"/>
  <c r="H51" i="1"/>
  <c r="H50" i="1"/>
  <c r="H49" i="1"/>
  <c r="H48" i="1"/>
  <c r="H47" i="1"/>
  <c r="H46" i="1"/>
  <c r="H45" i="1"/>
  <c r="H44" i="1"/>
  <c r="H43" i="1"/>
  <c r="H42" i="1"/>
  <c r="H41" i="1"/>
  <c r="H40" i="1"/>
  <c r="H39" i="1"/>
  <c r="H38" i="1"/>
  <c r="H37" i="1"/>
  <c r="H36" i="1"/>
  <c r="H35" i="1"/>
  <c r="H34" i="1"/>
  <c r="H33" i="1"/>
  <c r="C33" i="1"/>
  <c r="G33" i="1"/>
  <c r="C34" i="1"/>
  <c r="G34" i="1"/>
  <c r="C35" i="1"/>
  <c r="G35" i="1"/>
  <c r="C36" i="1"/>
  <c r="G36" i="1"/>
  <c r="C37" i="1"/>
  <c r="G37" i="1"/>
  <c r="C38" i="1"/>
  <c r="G38" i="1"/>
  <c r="C39" i="1"/>
  <c r="G39" i="1"/>
  <c r="C40" i="1"/>
  <c r="G40" i="1"/>
  <c r="C41" i="1"/>
  <c r="G41" i="1"/>
  <c r="C42" i="1"/>
  <c r="G42" i="1"/>
  <c r="C43" i="1"/>
  <c r="G43" i="1"/>
  <c r="C44" i="1"/>
  <c r="G44" i="1"/>
  <c r="C45" i="1"/>
  <c r="G45" i="1"/>
  <c r="C46" i="1"/>
  <c r="G46" i="1"/>
  <c r="C47" i="1"/>
  <c r="G47" i="1"/>
  <c r="C48" i="1"/>
  <c r="G48" i="1"/>
  <c r="C49" i="1"/>
  <c r="G49" i="1"/>
  <c r="C50" i="1"/>
  <c r="G50" i="1"/>
  <c r="C51" i="1"/>
  <c r="G51" i="1"/>
  <c r="C52" i="1"/>
  <c r="G52" i="1"/>
  <c r="F34" i="1"/>
  <c r="F37" i="1"/>
  <c r="F39" i="1"/>
  <c r="F40" i="1"/>
  <c r="F43" i="1"/>
  <c r="F45" i="1"/>
  <c r="F47" i="1"/>
  <c r="F49" i="1"/>
  <c r="D33" i="1"/>
  <c r="D34" i="1"/>
  <c r="D35" i="1"/>
  <c r="D36" i="1"/>
  <c r="D37" i="1"/>
  <c r="D38" i="1"/>
  <c r="D39" i="1"/>
  <c r="D40" i="1"/>
  <c r="D41" i="1"/>
  <c r="D42" i="1"/>
  <c r="D43" i="1"/>
  <c r="D44" i="1"/>
  <c r="D45" i="1"/>
  <c r="D46" i="1"/>
  <c r="D47" i="1"/>
  <c r="D48" i="1"/>
  <c r="D49" i="1"/>
  <c r="D50" i="1"/>
  <c r="D51" i="1"/>
  <c r="D52" i="1"/>
  <c r="F36" i="1"/>
  <c r="F38" i="1"/>
  <c r="F42" i="1"/>
  <c r="F46" i="1"/>
  <c r="F48" i="1"/>
  <c r="F50" i="1"/>
  <c r="F52" i="1"/>
  <c r="E33" i="1"/>
  <c r="E34" i="1"/>
  <c r="E35" i="1"/>
  <c r="E36" i="1"/>
  <c r="E37" i="1"/>
  <c r="E38" i="1"/>
  <c r="E39" i="1"/>
  <c r="E40" i="1"/>
  <c r="E41" i="1"/>
  <c r="E42" i="1"/>
  <c r="E43" i="1"/>
  <c r="E44" i="1"/>
  <c r="E45" i="1"/>
  <c r="E46" i="1"/>
  <c r="E47" i="1"/>
  <c r="E48" i="1"/>
  <c r="E49" i="1"/>
  <c r="E50" i="1"/>
  <c r="E51" i="1"/>
  <c r="E52" i="1"/>
  <c r="F33" i="1"/>
  <c r="F35" i="1"/>
  <c r="F41" i="1"/>
  <c r="F44" i="1"/>
  <c r="F51" i="1"/>
  <c r="I36" i="1"/>
  <c r="I34" i="1"/>
  <c r="I38" i="1"/>
  <c r="I40" i="1"/>
  <c r="I42" i="1"/>
  <c r="I44" i="1"/>
  <c r="I46" i="1"/>
  <c r="I48" i="1"/>
  <c r="I50" i="1"/>
  <c r="I52" i="1"/>
  <c r="I45" i="1"/>
  <c r="I47" i="1"/>
  <c r="I51" i="1"/>
  <c r="I33" i="1"/>
  <c r="I35" i="1"/>
  <c r="I37" i="1"/>
  <c r="I39" i="1"/>
  <c r="I41" i="1"/>
  <c r="I43" i="1"/>
  <c r="I49" i="1"/>
  <c r="F53" i="1" l="1"/>
  <c r="I53" i="1"/>
  <c r="E53" i="1"/>
  <c r="D53" i="1"/>
  <c r="G53" i="1"/>
  <c r="C53" i="1"/>
  <c r="K28" i="1" l="1"/>
  <c r="O7" i="1"/>
  <c r="W27" i="1"/>
  <c r="S27" i="1"/>
  <c r="S26" i="1"/>
  <c r="S25" i="1"/>
  <c r="S24" i="1"/>
  <c r="S23" i="1"/>
  <c r="S22" i="1"/>
  <c r="S21" i="1"/>
  <c r="S20" i="1"/>
  <c r="S19" i="1"/>
  <c r="S18" i="1"/>
  <c r="S17" i="1"/>
  <c r="S16" i="1"/>
  <c r="S15" i="1"/>
  <c r="S14" i="1"/>
  <c r="S13" i="1"/>
  <c r="S12" i="1"/>
  <c r="S11" i="1"/>
  <c r="S10" i="1"/>
  <c r="S9" i="1"/>
  <c r="S8" i="1"/>
  <c r="S7" i="1"/>
  <c r="R26" i="1"/>
  <c r="R25" i="1"/>
  <c r="R24" i="1"/>
  <c r="R23" i="1"/>
  <c r="R22" i="1"/>
  <c r="R21" i="1"/>
  <c r="R20" i="1"/>
  <c r="R19" i="1"/>
  <c r="R18" i="1"/>
  <c r="R17" i="1"/>
  <c r="R16" i="1"/>
  <c r="R15" i="1"/>
  <c r="R14" i="1"/>
  <c r="R13" i="1"/>
  <c r="R11" i="1"/>
  <c r="R10" i="1"/>
  <c r="R9" i="1"/>
  <c r="R8" i="1"/>
  <c r="R7" i="1"/>
  <c r="Q27" i="1"/>
  <c r="Q26" i="1"/>
  <c r="Q25" i="1"/>
  <c r="Q24" i="1"/>
  <c r="Q23" i="1"/>
  <c r="Q22" i="1"/>
  <c r="Q21" i="1"/>
  <c r="Q20" i="1"/>
  <c r="Q19" i="1"/>
  <c r="Q18" i="1"/>
  <c r="Q17" i="1"/>
  <c r="Q16" i="1"/>
  <c r="Q15" i="1"/>
  <c r="Q14" i="1"/>
  <c r="Q13" i="1"/>
  <c r="Q12" i="1"/>
  <c r="Q11" i="1"/>
  <c r="Q10" i="1"/>
  <c r="Q9" i="1"/>
  <c r="Q8" i="1"/>
  <c r="Q7" i="1"/>
  <c r="O27" i="1"/>
  <c r="O26" i="1"/>
  <c r="O25" i="1"/>
  <c r="O24" i="1"/>
  <c r="O23" i="1"/>
  <c r="O22" i="1"/>
  <c r="O21" i="1"/>
  <c r="O20" i="1"/>
  <c r="O19" i="1"/>
  <c r="O18" i="1"/>
  <c r="O17" i="1"/>
  <c r="O16" i="1"/>
  <c r="O15" i="1"/>
  <c r="O14" i="1"/>
  <c r="O13" i="1"/>
  <c r="O12" i="1"/>
  <c r="O11" i="1"/>
  <c r="O10" i="1"/>
  <c r="O9" i="1"/>
  <c r="O8" i="1"/>
  <c r="H27" i="1" l="1"/>
  <c r="K27" i="1"/>
  <c r="J27" i="1"/>
  <c r="D3" i="3" l="1"/>
  <c r="E3" i="3" s="1"/>
  <c r="F3" i="3" s="1"/>
  <c r="G3" i="3" s="1"/>
  <c r="H3" i="3" s="1"/>
  <c r="I3" i="3" s="1"/>
  <c r="J3" i="3" s="1"/>
  <c r="K3" i="3" s="1"/>
  <c r="L3" i="3" s="1"/>
  <c r="M3" i="3" s="1"/>
  <c r="N3" i="3" s="1"/>
  <c r="O3" i="3" s="1"/>
  <c r="P3" i="3" s="1"/>
  <c r="Q3" i="3" s="1"/>
  <c r="R3" i="3" s="1"/>
  <c r="S3" i="3" s="1"/>
  <c r="T3" i="3" s="1"/>
  <c r="U3" i="3" s="1"/>
  <c r="V3" i="3" s="1"/>
  <c r="B5" i="3"/>
  <c r="B6" i="3" s="1"/>
  <c r="B7" i="3" s="1"/>
  <c r="B8" i="3" s="1"/>
  <c r="B9" i="3" s="1"/>
  <c r="B10" i="3" s="1"/>
  <c r="B11" i="3" s="1"/>
  <c r="B12" i="3" s="1"/>
  <c r="B13" i="3" s="1"/>
  <c r="B14" i="3" s="1"/>
  <c r="B15" i="3" s="1"/>
  <c r="B16" i="3" s="1"/>
  <c r="B17" i="3" s="1"/>
  <c r="B18" i="3" s="1"/>
  <c r="B19" i="3" s="1"/>
  <c r="B20" i="3" s="1"/>
  <c r="B21" i="3" s="1"/>
  <c r="B22" i="3" s="1"/>
  <c r="B23" i="3" s="1"/>
  <c r="E12" i="1"/>
  <c r="F12" i="1" s="1"/>
  <c r="E26" i="1"/>
  <c r="F26" i="1" s="1"/>
  <c r="E13" i="1"/>
  <c r="F13" i="1"/>
  <c r="E25" i="1"/>
  <c r="F25" i="1" s="1"/>
  <c r="E24" i="1"/>
  <c r="F24" i="1"/>
  <c r="E23" i="1"/>
  <c r="F23" i="1" s="1"/>
  <c r="E22" i="1"/>
  <c r="F22" i="1" s="1"/>
  <c r="E21" i="1"/>
  <c r="F21" i="1"/>
  <c r="E20" i="1"/>
  <c r="F20" i="1"/>
  <c r="E19" i="1"/>
  <c r="F19" i="1" s="1"/>
  <c r="E18" i="1"/>
  <c r="F18" i="1" s="1"/>
  <c r="E17" i="1"/>
  <c r="F17" i="1"/>
  <c r="E16" i="1"/>
  <c r="F16" i="1"/>
  <c r="E15" i="1"/>
  <c r="F15" i="1" s="1"/>
  <c r="E14" i="1"/>
  <c r="F14" i="1" s="1"/>
  <c r="E11" i="1"/>
  <c r="F11" i="1"/>
  <c r="E10" i="1"/>
  <c r="F10" i="1"/>
  <c r="E9" i="1"/>
  <c r="F9" i="1"/>
  <c r="E8" i="1"/>
  <c r="F8" i="1" s="1"/>
  <c r="E7" i="1"/>
  <c r="F7" i="1" s="1"/>
</calcChain>
</file>

<file path=xl/sharedStrings.xml><?xml version="1.0" encoding="utf-8"?>
<sst xmlns="http://schemas.openxmlformats.org/spreadsheetml/2006/main" count="1678" uniqueCount="47">
  <si>
    <t>Coastal Zone</t>
  </si>
  <si>
    <t>Forest Surface Area (% of zone area)</t>
  </si>
  <si>
    <t>Grassland Surface Area (% of zone area)</t>
  </si>
  <si>
    <t>Wetland Surface Area (% of zone area)</t>
  </si>
  <si>
    <t>Zone Surface Area (square km)</t>
  </si>
  <si>
    <t>Coastline Length (km)</t>
  </si>
  <si>
    <t>Society of Actuaries 2017 Student Research Case Study Challenge</t>
  </si>
  <si>
    <t>Akua Island is approximately 70 kilometers from East to West</t>
  </si>
  <si>
    <t>Akua Island is approximately 45 kilometers from North to South</t>
  </si>
  <si>
    <t>Akua Duck Population (number of birds)</t>
  </si>
  <si>
    <t>Snapper Exploitation Rate (% of total fish  removed by fishing over the past year)</t>
  </si>
  <si>
    <t>Coastal Zone (listed by number from Figure 1)</t>
  </si>
  <si>
    <t xml:space="preserve"> Other Surface Area (% of zone area)</t>
  </si>
  <si>
    <t>X</t>
  </si>
  <si>
    <t>Recommended Use of Zone</t>
  </si>
  <si>
    <t/>
  </si>
  <si>
    <t>Average altitude measurement 100m inland from December 2016 Mean Sea Level  (m)</t>
  </si>
  <si>
    <t>indicates that the zones are connected at more than a single point</t>
  </si>
  <si>
    <t>Monthly Mean Sea Level Observations relative to December 2016 Mean Sea Level</t>
  </si>
  <si>
    <t>Measurements in millimeters</t>
  </si>
  <si>
    <t>Year</t>
  </si>
  <si>
    <t>Month</t>
  </si>
  <si>
    <t>XXXXX</t>
  </si>
  <si>
    <t>-99999 indicates "No available reading from an existing tide gauge"</t>
  </si>
  <si>
    <t>XXXXX indicates "No tide gauge in place"</t>
  </si>
  <si>
    <t>Mean Sea Level is measured as the average water level over the month.  Teams should consider in their response the potential variability at any point in time from the fluctuation of tides and surge
 from storms.</t>
  </si>
  <si>
    <t xml:space="preserve">Average amount of Soil Organic Matter measured in grassland soil as of December 2016 (% organic matter per hectare furrow slice*) </t>
  </si>
  <si>
    <t>Max grass</t>
  </si>
  <si>
    <t>Max Wet</t>
  </si>
  <si>
    <t>Max Forest</t>
  </si>
  <si>
    <t>wet area</t>
  </si>
  <si>
    <t>Grass area</t>
  </si>
  <si>
    <t>forest area</t>
  </si>
  <si>
    <t>Max Organic</t>
  </si>
  <si>
    <t>Agriculture</t>
    <phoneticPr fontId="8" type="noConversion"/>
  </si>
  <si>
    <t>Fishing</t>
    <phoneticPr fontId="8" type="noConversion"/>
  </si>
  <si>
    <t>5-year sea level risk</t>
    <phoneticPr fontId="8" type="noConversion"/>
  </si>
  <si>
    <t>Score for each area with different function (5-year sea level prediction  &amp; zone adjacent matrix excluded)</t>
    <phoneticPr fontId="8" type="noConversion"/>
  </si>
  <si>
    <t>Original Data</t>
    <phoneticPr fontId="8" type="noConversion"/>
  </si>
  <si>
    <t>Score by letting highest term being 1</t>
    <phoneticPr fontId="8" type="noConversion"/>
  </si>
  <si>
    <t>Real data instead of percentage</t>
    <phoneticPr fontId="8" type="noConversion"/>
  </si>
  <si>
    <t>5year_sea</t>
  </si>
  <si>
    <t>score is generated by matab</t>
  </si>
  <si>
    <t>Private housing</t>
    <phoneticPr fontId="8" type="noConversion"/>
  </si>
  <si>
    <t xml:space="preserve">Conservation </t>
    <phoneticPr fontId="8" type="noConversion"/>
  </si>
  <si>
    <t>Max</t>
    <phoneticPr fontId="8" type="noConversion"/>
  </si>
  <si>
    <t>Recreation</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</si>
</sst>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6" formatCode="0.000"/>
  </numFmts>
  <fonts count="10">
    <font>
      <sz val="12"/>
      <color theme="1"/>
      <name val="Calibri"/>
      <family val="2"/>
      <scheme val="minor"/>
    </font>
    <font>
      <u/>
      <sz val="12"/>
      <color theme="10"/>
      <name val="Calibri"/>
      <family val="2"/>
      <scheme val="minor"/>
    </font>
    <font>
      <u/>
      <sz val="12"/>
      <color theme="11"/>
      <name val="Calibri"/>
      <family val="2"/>
      <scheme val="minor"/>
    </font>
    <font>
      <b/>
      <i/>
      <sz val="12"/>
      <color theme="1"/>
      <name val="Calibri"/>
      <family val="2"/>
      <scheme val="minor"/>
    </font>
    <font>
      <b/>
      <sz val="12"/>
      <color theme="1"/>
      <name val="Calibri"/>
      <family val="2"/>
      <scheme val="minor"/>
    </font>
    <font>
      <b/>
      <sz val="12"/>
      <color rgb="FFFF00FF"/>
      <name val="Arial"/>
      <family val="2"/>
    </font>
    <font>
      <sz val="12"/>
      <color theme="1"/>
      <name val="Calibri"/>
      <family val="2"/>
      <scheme val="minor"/>
    </font>
    <font>
      <sz val="20"/>
      <color theme="1"/>
      <name val="Calibri"/>
      <family val="2"/>
      <scheme val="minor"/>
    </font>
    <font>
      <sz val="9"/>
      <name val="Calibri"/>
      <family val="3"/>
      <charset val="134"/>
      <scheme val="minor"/>
    </font>
    <font>
      <b/>
      <sz val="12"/>
      <color theme="1"/>
      <name val="Calibri"/>
      <family val="3"/>
      <charset val="134"/>
      <scheme val="minor"/>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1">
    <border>
      <left/>
      <right/>
      <top/>
      <bottom/>
      <diagonal/>
    </border>
  </borders>
  <cellStyleXfs count="7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34">
    <xf numFmtId="0" fontId="0" fillId="0" borderId="0" xfId="0"/>
    <xf numFmtId="0" fontId="0" fillId="0" borderId="0" xfId="0" applyAlignment="1">
      <alignment horizontal="left"/>
    </xf>
    <xf numFmtId="0" fontId="0" fillId="0" borderId="0" xfId="0" applyFill="1" applyAlignment="1">
      <alignment horizontal="right"/>
    </xf>
    <xf numFmtId="0" fontId="0" fillId="0" borderId="0" xfId="0" applyAlignment="1">
      <alignment horizontal="right"/>
    </xf>
    <xf numFmtId="9" fontId="0" fillId="0" borderId="0" xfId="0" applyNumberFormat="1" applyFill="1" applyAlignment="1">
      <alignment horizontal="right"/>
    </xf>
    <xf numFmtId="1" fontId="4" fillId="0" borderId="0" xfId="0" applyNumberFormat="1" applyFont="1" applyFill="1" applyAlignment="1">
      <alignment horizontal="right"/>
    </xf>
    <xf numFmtId="9" fontId="0" fillId="0" borderId="0" xfId="0" applyNumberFormat="1" applyAlignment="1">
      <alignment horizontal="right"/>
    </xf>
    <xf numFmtId="0" fontId="4" fillId="0" borderId="0" xfId="0" applyFont="1" applyAlignment="1">
      <alignment horizontal="right"/>
    </xf>
    <xf numFmtId="3" fontId="0" fillId="0" borderId="0" xfId="0" quotePrefix="1" applyNumberFormat="1" applyAlignment="1">
      <alignment horizontal="left"/>
    </xf>
    <xf numFmtId="1" fontId="0" fillId="0" borderId="0" xfId="0" applyNumberFormat="1" applyFont="1" applyFill="1" applyAlignment="1">
      <alignment horizontal="right"/>
    </xf>
    <xf numFmtId="164" fontId="0" fillId="0" borderId="0" xfId="0" applyNumberFormat="1" applyAlignment="1">
      <alignment horizontal="right"/>
    </xf>
    <xf numFmtId="0" fontId="0" fillId="0" borderId="0" xfId="0" quotePrefix="1" applyAlignment="1">
      <alignment horizontal="left"/>
    </xf>
    <xf numFmtId="1" fontId="0" fillId="0" borderId="0" xfId="0" applyNumberFormat="1" applyFill="1" applyAlignment="1">
      <alignment horizontal="center" vertical="center"/>
    </xf>
    <xf numFmtId="0" fontId="3" fillId="0" borderId="0" xfId="0" applyFont="1" applyFill="1" applyAlignment="1">
      <alignment horizontal="right"/>
    </xf>
    <xf numFmtId="3" fontId="5" fillId="0" borderId="0" xfId="0" applyNumberFormat="1" applyFont="1"/>
    <xf numFmtId="1" fontId="0" fillId="0" borderId="0" xfId="0" applyNumberFormat="1" applyAlignment="1">
      <alignment horizontal="right"/>
    </xf>
    <xf numFmtId="0" fontId="4" fillId="0" borderId="0" xfId="0" applyFont="1" applyFill="1" applyAlignment="1">
      <alignment horizontal="center" wrapText="1"/>
    </xf>
    <xf numFmtId="0" fontId="0" fillId="3" borderId="0" xfId="0" applyFill="1"/>
    <xf numFmtId="0" fontId="0" fillId="2" borderId="0" xfId="0" applyFill="1" applyAlignment="1">
      <alignment horizontal="center" vertical="center"/>
    </xf>
    <xf numFmtId="0" fontId="4" fillId="0" borderId="0" xfId="0" quotePrefix="1" applyFont="1" applyFill="1" applyAlignment="1">
      <alignment horizontal="center" wrapText="1"/>
    </xf>
    <xf numFmtId="0" fontId="0" fillId="0" borderId="0" xfId="0" applyAlignment="1">
      <alignment horizontal="center" vertical="center"/>
    </xf>
    <xf numFmtId="0" fontId="0" fillId="0" borderId="0" xfId="0" quotePrefix="1" applyAlignment="1">
      <alignment horizontal="center" vertical="center"/>
    </xf>
    <xf numFmtId="0" fontId="6" fillId="0" borderId="0" xfId="0" applyFont="1" applyFill="1" applyBorder="1"/>
    <xf numFmtId="0" fontId="6" fillId="0" borderId="0" xfId="0" applyFont="1" applyFill="1" applyBorder="1" applyAlignment="1">
      <alignment horizontal="right"/>
    </xf>
    <xf numFmtId="0" fontId="7" fillId="0" borderId="0" xfId="0" quotePrefix="1" applyFont="1" applyAlignment="1">
      <alignment horizontal="left"/>
    </xf>
    <xf numFmtId="9" fontId="3" fillId="0" borderId="0" xfId="0" applyNumberFormat="1" applyFont="1" applyAlignment="1">
      <alignment horizontal="right"/>
    </xf>
    <xf numFmtId="0" fontId="0" fillId="0" borderId="0" xfId="0" applyNumberFormat="1" applyFill="1" applyAlignment="1">
      <alignment horizontal="right"/>
    </xf>
    <xf numFmtId="166" fontId="0" fillId="0" borderId="0" xfId="0" applyNumberFormat="1" applyFill="1" applyAlignment="1">
      <alignment horizontal="right"/>
    </xf>
    <xf numFmtId="166" fontId="0" fillId="0" borderId="0" xfId="0" applyNumberFormat="1" applyAlignment="1">
      <alignment horizontal="right"/>
    </xf>
    <xf numFmtId="166" fontId="3" fillId="0" borderId="0" xfId="0" applyNumberFormat="1" applyFont="1" applyAlignment="1">
      <alignment horizontal="right"/>
    </xf>
    <xf numFmtId="0" fontId="9" fillId="0" borderId="0" xfId="0" applyFont="1" applyAlignment="1">
      <alignment horizontal="right"/>
    </xf>
    <xf numFmtId="0" fontId="9" fillId="0" borderId="0" xfId="0" applyFont="1" applyAlignment="1">
      <alignment horizontal="left"/>
    </xf>
    <xf numFmtId="0" fontId="4" fillId="0" borderId="0" xfId="0" applyFont="1" applyAlignment="1">
      <alignment horizontal="left"/>
    </xf>
    <xf numFmtId="0" fontId="9" fillId="0" borderId="0" xfId="0" applyFont="1" applyAlignment="1">
      <alignment horizontal="left"/>
    </xf>
  </cellXfs>
  <cellStyles count="71">
    <cellStyle name="已访问的超链接" xfId="2" builtinId="9" hidden="1"/>
    <cellStyle name="已访问的超链接" xfId="4" builtinId="9" hidden="1"/>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常规" xfId="0" builtinId="0"/>
    <cellStyle name="超链接" xfId="1" builtinId="8" hidden="1"/>
    <cellStyle name="超链接" xfId="3" builtinId="8" hidden="1"/>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Medium4">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80"/>
  <sheetViews>
    <sheetView tabSelected="1" topLeftCell="J38" zoomScale="70" zoomScaleNormal="70" zoomScalePageLayoutView="70" workbookViewId="0">
      <selection activeCell="Z7" sqref="Z7"/>
    </sheetView>
  </sheetViews>
  <sheetFormatPr defaultColWidth="10.84765625" defaultRowHeight="15.6"/>
  <cols>
    <col min="1" max="1" width="16.5" style="3" customWidth="1"/>
    <col min="2" max="2" width="16.59765625" style="3" customWidth="1"/>
    <col min="3" max="3" width="21" style="3" customWidth="1"/>
    <col min="4" max="4" width="20.84765625" style="3" customWidth="1"/>
    <col min="5" max="6" width="17.5" style="3" customWidth="1"/>
    <col min="7" max="7" width="28.046875" style="3" customWidth="1"/>
    <col min="8" max="8" width="34.046875" style="3" customWidth="1"/>
    <col min="9" max="9" width="44.546875" style="3" customWidth="1"/>
    <col min="10" max="10" width="16.34765625" style="3" customWidth="1"/>
    <col min="11" max="11" width="21" style="3" customWidth="1"/>
    <col min="12" max="19" width="10.84765625" style="3"/>
    <col min="20" max="20" width="12.09765625" style="3" customWidth="1"/>
    <col min="21" max="21" width="10.84765625" style="3"/>
    <col min="22" max="22" width="11.3984375" style="3" customWidth="1"/>
    <col min="23" max="16384" width="10.84765625" style="3"/>
  </cols>
  <sheetData>
    <row r="1" spans="1:23" ht="25.8">
      <c r="A1" s="24" t="s">
        <v>6</v>
      </c>
    </row>
    <row r="2" spans="1:23">
      <c r="A2"/>
    </row>
    <row r="3" spans="1:23">
      <c r="A3" s="11" t="s">
        <v>7</v>
      </c>
    </row>
    <row r="4" spans="1:23">
      <c r="A4" s="11" t="s">
        <v>8</v>
      </c>
    </row>
    <row r="5" spans="1:23">
      <c r="A5" s="30" t="s">
        <v>38</v>
      </c>
      <c r="M5" s="31" t="s">
        <v>40</v>
      </c>
    </row>
    <row r="6" spans="1:23" s="7" customFormat="1" ht="109.5" customHeight="1">
      <c r="A6" s="16" t="s">
        <v>11</v>
      </c>
      <c r="B6" s="16" t="s">
        <v>4</v>
      </c>
      <c r="C6" s="16" t="s">
        <v>3</v>
      </c>
      <c r="D6" s="16" t="s">
        <v>2</v>
      </c>
      <c r="E6" s="16" t="s">
        <v>1</v>
      </c>
      <c r="F6" s="16" t="s">
        <v>12</v>
      </c>
      <c r="G6" s="19" t="s">
        <v>9</v>
      </c>
      <c r="H6" s="19" t="s">
        <v>10</v>
      </c>
      <c r="I6" s="16" t="s">
        <v>26</v>
      </c>
      <c r="J6" s="16" t="s">
        <v>5</v>
      </c>
      <c r="K6" s="19" t="s">
        <v>16</v>
      </c>
      <c r="L6" s="16" t="s">
        <v>11</v>
      </c>
      <c r="M6" s="16" t="s">
        <v>4</v>
      </c>
      <c r="N6" s="16" t="s">
        <v>3</v>
      </c>
      <c r="O6" s="16" t="s">
        <v>30</v>
      </c>
      <c r="P6" s="16" t="s">
        <v>2</v>
      </c>
      <c r="Q6" s="16" t="s">
        <v>31</v>
      </c>
      <c r="R6" s="16" t="s">
        <v>1</v>
      </c>
      <c r="S6" s="16" t="s">
        <v>32</v>
      </c>
      <c r="T6" s="16" t="s">
        <v>26</v>
      </c>
      <c r="U6" s="19" t="s">
        <v>10</v>
      </c>
      <c r="V6" s="16" t="s">
        <v>5</v>
      </c>
      <c r="W6" s="16"/>
    </row>
    <row r="7" spans="1:23">
      <c r="A7" s="12">
        <v>1</v>
      </c>
      <c r="B7" s="2">
        <v>23.3</v>
      </c>
      <c r="C7" s="4">
        <v>0.1</v>
      </c>
      <c r="D7" s="4">
        <v>0.48</v>
      </c>
      <c r="E7" s="4">
        <f>0.36</f>
        <v>0.36</v>
      </c>
      <c r="F7" s="4">
        <f>1-(SUM(C7:E7))</f>
        <v>6.0000000000000053E-2</v>
      </c>
      <c r="G7" s="2">
        <v>0</v>
      </c>
      <c r="H7" s="4">
        <v>0.68</v>
      </c>
      <c r="I7" s="4">
        <v>2.5000000000000001E-2</v>
      </c>
      <c r="J7" s="10">
        <v>12.1</v>
      </c>
      <c r="K7" s="2">
        <v>9.5</v>
      </c>
      <c r="L7" s="12">
        <v>1</v>
      </c>
      <c r="M7" s="2">
        <v>23.3</v>
      </c>
      <c r="N7" s="4">
        <v>0.1</v>
      </c>
      <c r="O7" s="3">
        <f>N7*M7</f>
        <v>2.33</v>
      </c>
      <c r="P7" s="4">
        <v>0.48</v>
      </c>
      <c r="Q7" s="3">
        <f>M7*P7</f>
        <v>11.183999999999999</v>
      </c>
      <c r="R7" s="4">
        <f>0.36</f>
        <v>0.36</v>
      </c>
      <c r="S7" s="26">
        <f>R7*M7</f>
        <v>8.3879999999999999</v>
      </c>
      <c r="T7" s="4">
        <v>2.5000000000000001E-2</v>
      </c>
      <c r="U7" s="4">
        <v>0.68</v>
      </c>
      <c r="V7" s="10">
        <v>12.1</v>
      </c>
    </row>
    <row r="8" spans="1:23">
      <c r="A8" s="12">
        <v>2</v>
      </c>
      <c r="B8" s="2">
        <v>39.700000000000003</v>
      </c>
      <c r="C8" s="4">
        <v>0.1</v>
      </c>
      <c r="D8" s="4">
        <v>0.54</v>
      </c>
      <c r="E8" s="4">
        <f>0.33</f>
        <v>0.33</v>
      </c>
      <c r="F8" s="4">
        <f t="shared" ref="F8:F26" si="0">1-(SUM(C8:E8))</f>
        <v>3.0000000000000027E-2</v>
      </c>
      <c r="G8" s="2">
        <v>0</v>
      </c>
      <c r="H8" s="4">
        <v>0.62</v>
      </c>
      <c r="I8" s="4">
        <v>3.1E-2</v>
      </c>
      <c r="J8" s="10">
        <v>21.5</v>
      </c>
      <c r="K8" s="2">
        <v>6.4</v>
      </c>
      <c r="L8" s="12">
        <v>2</v>
      </c>
      <c r="M8" s="2">
        <v>39.700000000000003</v>
      </c>
      <c r="N8" s="4">
        <v>0.1</v>
      </c>
      <c r="O8" s="3">
        <f t="shared" ref="O8:O26" si="1">N8*M8</f>
        <v>3.9700000000000006</v>
      </c>
      <c r="P8" s="4">
        <v>0.54</v>
      </c>
      <c r="Q8" s="3">
        <f t="shared" ref="Q8:Q26" si="2">M8*P8</f>
        <v>21.438000000000002</v>
      </c>
      <c r="R8" s="4">
        <f>0.33</f>
        <v>0.33</v>
      </c>
      <c r="S8" s="26">
        <f>R8*M8</f>
        <v>13.101000000000001</v>
      </c>
      <c r="T8" s="4">
        <v>3.1E-2</v>
      </c>
      <c r="U8" s="4">
        <v>0.62</v>
      </c>
      <c r="V8" s="10">
        <v>21.5</v>
      </c>
    </row>
    <row r="9" spans="1:23">
      <c r="A9" s="12">
        <v>3</v>
      </c>
      <c r="B9" s="2">
        <v>11.7</v>
      </c>
      <c r="C9" s="4">
        <v>0.12</v>
      </c>
      <c r="D9" s="4">
        <v>0.88</v>
      </c>
      <c r="E9" s="4">
        <f>0</f>
        <v>0</v>
      </c>
      <c r="F9" s="4">
        <f t="shared" si="0"/>
        <v>0</v>
      </c>
      <c r="G9" s="2">
        <v>0</v>
      </c>
      <c r="H9" s="4">
        <v>0.55000000000000004</v>
      </c>
      <c r="I9" s="4">
        <v>1.4999999999999999E-2</v>
      </c>
      <c r="J9" s="10">
        <v>6.2</v>
      </c>
      <c r="K9" s="2">
        <v>3.6</v>
      </c>
      <c r="L9" s="12">
        <v>3</v>
      </c>
      <c r="M9" s="2">
        <v>11.7</v>
      </c>
      <c r="N9" s="4">
        <v>0.12</v>
      </c>
      <c r="O9" s="3">
        <f t="shared" si="1"/>
        <v>1.4039999999999999</v>
      </c>
      <c r="P9" s="4">
        <v>0.88</v>
      </c>
      <c r="Q9" s="3">
        <f t="shared" si="2"/>
        <v>10.295999999999999</v>
      </c>
      <c r="R9" s="4">
        <f>0</f>
        <v>0</v>
      </c>
      <c r="S9" s="26">
        <f>R9*M9</f>
        <v>0</v>
      </c>
      <c r="T9" s="4">
        <v>1.4999999999999999E-2</v>
      </c>
      <c r="U9" s="4">
        <v>0.55000000000000004</v>
      </c>
      <c r="V9" s="10">
        <v>6.2</v>
      </c>
    </row>
    <row r="10" spans="1:23">
      <c r="A10" s="12">
        <v>4</v>
      </c>
      <c r="B10" s="2">
        <v>49.5</v>
      </c>
      <c r="C10" s="4">
        <v>0.11</v>
      </c>
      <c r="D10" s="4">
        <v>0.22</v>
      </c>
      <c r="E10" s="4">
        <f>0.65</f>
        <v>0.65</v>
      </c>
      <c r="F10" s="4">
        <f t="shared" si="0"/>
        <v>2.0000000000000018E-2</v>
      </c>
      <c r="G10" s="2">
        <v>0</v>
      </c>
      <c r="H10" s="4">
        <v>0.43</v>
      </c>
      <c r="I10" s="4">
        <v>0.10199999999999999</v>
      </c>
      <c r="J10" s="10">
        <v>17.7</v>
      </c>
      <c r="K10" s="2">
        <v>0.4</v>
      </c>
      <c r="L10" s="12">
        <v>4</v>
      </c>
      <c r="M10" s="2">
        <v>49.5</v>
      </c>
      <c r="N10" s="4">
        <v>0.11</v>
      </c>
      <c r="O10" s="3">
        <f t="shared" si="1"/>
        <v>5.4450000000000003</v>
      </c>
      <c r="P10" s="4">
        <v>0.22</v>
      </c>
      <c r="Q10" s="3">
        <f t="shared" si="2"/>
        <v>10.89</v>
      </c>
      <c r="R10" s="4">
        <f>0.65</f>
        <v>0.65</v>
      </c>
      <c r="S10" s="26">
        <f>R10*M10</f>
        <v>32.175000000000004</v>
      </c>
      <c r="T10" s="4">
        <v>0.10199999999999999</v>
      </c>
      <c r="U10" s="4">
        <v>0.43</v>
      </c>
      <c r="V10" s="10">
        <v>17.7</v>
      </c>
    </row>
    <row r="11" spans="1:23">
      <c r="A11" s="12">
        <v>5</v>
      </c>
      <c r="B11" s="2">
        <v>36.1</v>
      </c>
      <c r="C11" s="4">
        <v>7.0000000000000007E-2</v>
      </c>
      <c r="D11" s="4">
        <v>0.72</v>
      </c>
      <c r="E11" s="4">
        <f>0.12</f>
        <v>0.12</v>
      </c>
      <c r="F11" s="4">
        <f t="shared" si="0"/>
        <v>8.9999999999999969E-2</v>
      </c>
      <c r="G11" s="2">
        <v>0</v>
      </c>
      <c r="H11" s="4">
        <v>0.32</v>
      </c>
      <c r="I11" s="4">
        <v>6.2E-2</v>
      </c>
      <c r="J11" s="10">
        <v>3.4</v>
      </c>
      <c r="K11" s="2">
        <v>0.3</v>
      </c>
      <c r="L11" s="12">
        <v>5</v>
      </c>
      <c r="M11" s="2">
        <v>36.1</v>
      </c>
      <c r="N11" s="4">
        <v>7.0000000000000007E-2</v>
      </c>
      <c r="O11" s="3">
        <f t="shared" si="1"/>
        <v>2.5270000000000001</v>
      </c>
      <c r="P11" s="4">
        <v>0.72</v>
      </c>
      <c r="Q11" s="3">
        <f t="shared" si="2"/>
        <v>25.992000000000001</v>
      </c>
      <c r="R11" s="4">
        <f>0.12</f>
        <v>0.12</v>
      </c>
      <c r="S11" s="26">
        <f>R11*M11</f>
        <v>4.3319999999999999</v>
      </c>
      <c r="T11" s="4">
        <v>6.2E-2</v>
      </c>
      <c r="U11" s="4">
        <v>0.32</v>
      </c>
      <c r="V11" s="10">
        <v>3.4</v>
      </c>
    </row>
    <row r="12" spans="1:23">
      <c r="A12" s="12">
        <v>6</v>
      </c>
      <c r="B12" s="2">
        <v>38.1</v>
      </c>
      <c r="C12" s="4">
        <v>7.0000000000000007E-2</v>
      </c>
      <c r="D12" s="4">
        <v>0.85</v>
      </c>
      <c r="E12" s="4">
        <f>(1-D12-C12-0.04)</f>
        <v>4.0000000000000015E-2</v>
      </c>
      <c r="F12" s="4">
        <f t="shared" si="0"/>
        <v>4.0000000000000036E-2</v>
      </c>
      <c r="G12" s="2">
        <v>0</v>
      </c>
      <c r="H12" s="4">
        <v>0.25</v>
      </c>
      <c r="I12" s="4">
        <v>7.4999999999999997E-2</v>
      </c>
      <c r="J12" s="10">
        <v>10.5</v>
      </c>
      <c r="K12" s="2">
        <v>3.9</v>
      </c>
      <c r="L12" s="12">
        <v>6</v>
      </c>
      <c r="M12" s="2">
        <v>38.1</v>
      </c>
      <c r="N12" s="4">
        <v>7.0000000000000007E-2</v>
      </c>
      <c r="O12" s="3">
        <f t="shared" si="1"/>
        <v>2.6670000000000003</v>
      </c>
      <c r="P12" s="4">
        <v>0.85</v>
      </c>
      <c r="Q12" s="3">
        <f t="shared" si="2"/>
        <v>32.384999999999998</v>
      </c>
      <c r="R12" s="4">
        <v>0.04</v>
      </c>
      <c r="S12" s="26">
        <f t="shared" ref="S12:S26" si="3">R12*M12</f>
        <v>1.524</v>
      </c>
      <c r="T12" s="4">
        <v>7.4999999999999997E-2</v>
      </c>
      <c r="U12" s="4">
        <v>0.25</v>
      </c>
      <c r="V12" s="10">
        <v>10.5</v>
      </c>
    </row>
    <row r="13" spans="1:23">
      <c r="A13" s="12">
        <v>7</v>
      </c>
      <c r="B13" s="2">
        <v>32.5</v>
      </c>
      <c r="C13" s="4">
        <v>0.12</v>
      </c>
      <c r="D13" s="4">
        <v>0.64</v>
      </c>
      <c r="E13" s="4">
        <f>0.15</f>
        <v>0.15</v>
      </c>
      <c r="F13" s="4">
        <f t="shared" si="0"/>
        <v>8.9999999999999969E-2</v>
      </c>
      <c r="G13" s="3">
        <v>3</v>
      </c>
      <c r="H13" s="4">
        <v>0.22</v>
      </c>
      <c r="I13" s="4">
        <v>1.9E-2</v>
      </c>
      <c r="J13" s="10">
        <v>17.399999999999999</v>
      </c>
      <c r="K13" s="2">
        <v>0.4</v>
      </c>
      <c r="L13" s="12">
        <v>7</v>
      </c>
      <c r="M13" s="2">
        <v>32.5</v>
      </c>
      <c r="N13" s="4">
        <v>0.12</v>
      </c>
      <c r="O13" s="3">
        <f t="shared" si="1"/>
        <v>3.9</v>
      </c>
      <c r="P13" s="4">
        <v>0.64</v>
      </c>
      <c r="Q13" s="3">
        <f t="shared" si="2"/>
        <v>20.8</v>
      </c>
      <c r="R13" s="4">
        <f>0.15</f>
        <v>0.15</v>
      </c>
      <c r="S13" s="26">
        <f t="shared" si="3"/>
        <v>4.875</v>
      </c>
      <c r="T13" s="4">
        <v>1.9E-2</v>
      </c>
      <c r="U13" s="4">
        <v>0.22</v>
      </c>
      <c r="V13" s="10">
        <v>17.399999999999999</v>
      </c>
    </row>
    <row r="14" spans="1:23">
      <c r="A14" s="12">
        <v>8</v>
      </c>
      <c r="B14" s="2">
        <v>34.700000000000003</v>
      </c>
      <c r="C14" s="4">
        <v>0.1</v>
      </c>
      <c r="D14" s="4">
        <v>0.57999999999999996</v>
      </c>
      <c r="E14" s="4">
        <f>0.25</f>
        <v>0.25</v>
      </c>
      <c r="F14" s="4">
        <f t="shared" si="0"/>
        <v>7.0000000000000062E-2</v>
      </c>
      <c r="G14" s="3">
        <v>4</v>
      </c>
      <c r="H14" s="4">
        <v>0.12</v>
      </c>
      <c r="I14" s="4">
        <v>6.7000000000000002E-3</v>
      </c>
      <c r="J14" s="10">
        <v>7.3</v>
      </c>
      <c r="K14" s="2">
        <v>2.6</v>
      </c>
      <c r="L14" s="12">
        <v>8</v>
      </c>
      <c r="M14" s="2">
        <v>34.700000000000003</v>
      </c>
      <c r="N14" s="4">
        <v>0.1</v>
      </c>
      <c r="O14" s="3">
        <f t="shared" si="1"/>
        <v>3.4700000000000006</v>
      </c>
      <c r="P14" s="4">
        <v>0.57999999999999996</v>
      </c>
      <c r="Q14" s="3">
        <f t="shared" si="2"/>
        <v>20.126000000000001</v>
      </c>
      <c r="R14" s="4">
        <f>0.25</f>
        <v>0.25</v>
      </c>
      <c r="S14" s="26">
        <f t="shared" si="3"/>
        <v>8.6750000000000007</v>
      </c>
      <c r="T14" s="4">
        <v>6.7000000000000002E-3</v>
      </c>
      <c r="U14" s="4">
        <v>0.12</v>
      </c>
      <c r="V14" s="10">
        <v>7.3</v>
      </c>
    </row>
    <row r="15" spans="1:23">
      <c r="A15" s="12">
        <v>9</v>
      </c>
      <c r="B15" s="2">
        <v>40.6</v>
      </c>
      <c r="C15" s="4">
        <v>0.01</v>
      </c>
      <c r="D15" s="4">
        <v>0.92</v>
      </c>
      <c r="E15" s="4">
        <f>0.06</f>
        <v>0.06</v>
      </c>
      <c r="F15" s="4">
        <f t="shared" si="0"/>
        <v>1.0000000000000009E-2</v>
      </c>
      <c r="G15" s="3">
        <v>5</v>
      </c>
      <c r="H15" s="4">
        <v>0.11</v>
      </c>
      <c r="I15" s="4">
        <v>4.3999999999999997E-2</v>
      </c>
      <c r="J15" s="10">
        <v>1.9</v>
      </c>
      <c r="K15" s="2">
        <v>2.8</v>
      </c>
      <c r="L15" s="12">
        <v>9</v>
      </c>
      <c r="M15" s="2">
        <v>40.6</v>
      </c>
      <c r="N15" s="4">
        <v>0.01</v>
      </c>
      <c r="O15" s="3">
        <f t="shared" si="1"/>
        <v>0.40600000000000003</v>
      </c>
      <c r="P15" s="4">
        <v>0.92</v>
      </c>
      <c r="Q15" s="3">
        <f t="shared" si="2"/>
        <v>37.352000000000004</v>
      </c>
      <c r="R15" s="4">
        <f>0.06</f>
        <v>0.06</v>
      </c>
      <c r="S15" s="26">
        <f t="shared" si="3"/>
        <v>2.4359999999999999</v>
      </c>
      <c r="T15" s="4">
        <v>4.3999999999999997E-2</v>
      </c>
      <c r="U15" s="4">
        <v>0.11</v>
      </c>
      <c r="V15" s="10">
        <v>1.9</v>
      </c>
    </row>
    <row r="16" spans="1:23">
      <c r="A16" s="12">
        <v>10</v>
      </c>
      <c r="B16" s="2">
        <v>18.3</v>
      </c>
      <c r="C16" s="4">
        <v>0.17</v>
      </c>
      <c r="D16" s="4">
        <v>0.78</v>
      </c>
      <c r="E16" s="4">
        <f>0.03</f>
        <v>0.03</v>
      </c>
      <c r="F16" s="4">
        <f t="shared" si="0"/>
        <v>1.9999999999999907E-2</v>
      </c>
      <c r="G16" s="3">
        <v>13</v>
      </c>
      <c r="H16" s="4">
        <v>0.1</v>
      </c>
      <c r="I16" s="4">
        <v>7.0999999999999994E-2</v>
      </c>
      <c r="J16" s="10">
        <v>10.6</v>
      </c>
      <c r="K16" s="2">
        <v>4.8</v>
      </c>
      <c r="L16" s="12">
        <v>10</v>
      </c>
      <c r="M16" s="2">
        <v>18.3</v>
      </c>
      <c r="N16" s="4">
        <v>0.17</v>
      </c>
      <c r="O16" s="3">
        <f t="shared" si="1"/>
        <v>3.1110000000000002</v>
      </c>
      <c r="P16" s="4">
        <v>0.78</v>
      </c>
      <c r="Q16" s="3">
        <f t="shared" si="2"/>
        <v>14.274000000000001</v>
      </c>
      <c r="R16" s="4">
        <f>0.03</f>
        <v>0.03</v>
      </c>
      <c r="S16" s="26">
        <f t="shared" si="3"/>
        <v>0.54900000000000004</v>
      </c>
      <c r="T16" s="4">
        <v>7.0999999999999994E-2</v>
      </c>
      <c r="U16" s="4">
        <v>0.1</v>
      </c>
      <c r="V16" s="10">
        <v>10.6</v>
      </c>
    </row>
    <row r="17" spans="1:23">
      <c r="A17" s="12">
        <v>11</v>
      </c>
      <c r="B17" s="2">
        <v>41.7</v>
      </c>
      <c r="C17" s="4">
        <v>7.0000000000000007E-2</v>
      </c>
      <c r="D17" s="4">
        <v>0.46</v>
      </c>
      <c r="E17" s="4">
        <f>0.31</f>
        <v>0.31</v>
      </c>
      <c r="F17" s="4">
        <f t="shared" si="0"/>
        <v>0.15999999999999992</v>
      </c>
      <c r="G17" s="3">
        <v>17</v>
      </c>
      <c r="H17" s="4">
        <v>0.02</v>
      </c>
      <c r="I17" s="4">
        <v>8.5999999999999993E-2</v>
      </c>
      <c r="J17" s="10">
        <v>8.5</v>
      </c>
      <c r="K17" s="2">
        <v>4.5999999999999996</v>
      </c>
      <c r="L17" s="12">
        <v>11</v>
      </c>
      <c r="M17" s="2">
        <v>41.7</v>
      </c>
      <c r="N17" s="4">
        <v>7.0000000000000007E-2</v>
      </c>
      <c r="O17" s="3">
        <f t="shared" si="1"/>
        <v>2.9190000000000005</v>
      </c>
      <c r="P17" s="4">
        <v>0.46</v>
      </c>
      <c r="Q17" s="3">
        <f t="shared" si="2"/>
        <v>19.182000000000002</v>
      </c>
      <c r="R17" s="4">
        <f>0.31</f>
        <v>0.31</v>
      </c>
      <c r="S17" s="26">
        <f t="shared" si="3"/>
        <v>12.927000000000001</v>
      </c>
      <c r="T17" s="4">
        <v>8.5999999999999993E-2</v>
      </c>
      <c r="U17" s="4">
        <v>0.02</v>
      </c>
      <c r="V17" s="10">
        <v>8.5</v>
      </c>
    </row>
    <row r="18" spans="1:23">
      <c r="A18" s="12">
        <v>12</v>
      </c>
      <c r="B18" s="2">
        <v>38.299999999999997</v>
      </c>
      <c r="C18" s="4">
        <v>0.06</v>
      </c>
      <c r="D18" s="4">
        <v>0.77</v>
      </c>
      <c r="E18" s="4">
        <f>0.08</f>
        <v>0.08</v>
      </c>
      <c r="F18" s="4">
        <f t="shared" si="0"/>
        <v>8.9999999999999969E-2</v>
      </c>
      <c r="G18" s="3">
        <v>21</v>
      </c>
      <c r="H18" s="4">
        <v>0.09</v>
      </c>
      <c r="I18" s="4">
        <v>5.8000000000000003E-2</v>
      </c>
      <c r="J18" s="10">
        <v>9.3000000000000007</v>
      </c>
      <c r="K18" s="2">
        <v>3.9</v>
      </c>
      <c r="L18" s="12">
        <v>12</v>
      </c>
      <c r="M18" s="2">
        <v>38.299999999999997</v>
      </c>
      <c r="N18" s="4">
        <v>0.06</v>
      </c>
      <c r="O18" s="3">
        <f t="shared" si="1"/>
        <v>2.2979999999999996</v>
      </c>
      <c r="P18" s="4">
        <v>0.77</v>
      </c>
      <c r="Q18" s="3">
        <f t="shared" si="2"/>
        <v>29.491</v>
      </c>
      <c r="R18" s="4">
        <f>0.08</f>
        <v>0.08</v>
      </c>
      <c r="S18" s="26">
        <f t="shared" si="3"/>
        <v>3.0640000000000001</v>
      </c>
      <c r="T18" s="4">
        <v>5.8000000000000003E-2</v>
      </c>
      <c r="U18" s="4">
        <v>0.09</v>
      </c>
      <c r="V18" s="10">
        <v>9.3000000000000007</v>
      </c>
    </row>
    <row r="19" spans="1:23">
      <c r="A19" s="12">
        <v>13</v>
      </c>
      <c r="B19" s="2">
        <v>20.8</v>
      </c>
      <c r="C19" s="4">
        <v>0.03</v>
      </c>
      <c r="D19" s="4">
        <v>0.56000000000000005</v>
      </c>
      <c r="E19" s="4">
        <f>0.29</f>
        <v>0.28999999999999998</v>
      </c>
      <c r="F19" s="4">
        <f t="shared" si="0"/>
        <v>0.11999999999999988</v>
      </c>
      <c r="G19" s="3">
        <v>32</v>
      </c>
      <c r="H19" s="4">
        <v>0.09</v>
      </c>
      <c r="I19" s="4">
        <v>4.8000000000000001E-2</v>
      </c>
      <c r="J19" s="10">
        <v>3.8</v>
      </c>
      <c r="K19" s="2">
        <v>3.8</v>
      </c>
      <c r="L19" s="12">
        <v>13</v>
      </c>
      <c r="M19" s="2">
        <v>20.8</v>
      </c>
      <c r="N19" s="4">
        <v>0.03</v>
      </c>
      <c r="O19" s="3">
        <f t="shared" si="1"/>
        <v>0.624</v>
      </c>
      <c r="P19" s="4">
        <v>0.56000000000000005</v>
      </c>
      <c r="Q19" s="3">
        <f t="shared" si="2"/>
        <v>11.648000000000001</v>
      </c>
      <c r="R19" s="4">
        <f>0.29</f>
        <v>0.28999999999999998</v>
      </c>
      <c r="S19" s="26">
        <f t="shared" si="3"/>
        <v>6.032</v>
      </c>
      <c r="T19" s="4">
        <v>4.8000000000000001E-2</v>
      </c>
      <c r="U19" s="4">
        <v>0.09</v>
      </c>
      <c r="V19" s="10">
        <v>3.8</v>
      </c>
    </row>
    <row r="20" spans="1:23">
      <c r="A20" s="12">
        <v>14</v>
      </c>
      <c r="B20" s="2">
        <v>38.9</v>
      </c>
      <c r="C20" s="4">
        <v>0.06</v>
      </c>
      <c r="D20" s="4">
        <v>0.42</v>
      </c>
      <c r="E20" s="4">
        <f>0.46</f>
        <v>0.46</v>
      </c>
      <c r="F20" s="4">
        <f t="shared" si="0"/>
        <v>6.0000000000000053E-2</v>
      </c>
      <c r="G20" s="15">
        <v>51</v>
      </c>
      <c r="H20" s="4">
        <v>0.1</v>
      </c>
      <c r="I20" s="4">
        <v>5.3999999999999999E-2</v>
      </c>
      <c r="J20" s="10">
        <v>7</v>
      </c>
      <c r="K20" s="2">
        <v>0.6</v>
      </c>
      <c r="L20" s="12">
        <v>14</v>
      </c>
      <c r="M20" s="2">
        <v>38.9</v>
      </c>
      <c r="N20" s="4">
        <v>0.06</v>
      </c>
      <c r="O20" s="3">
        <f t="shared" si="1"/>
        <v>2.3339999999999996</v>
      </c>
      <c r="P20" s="4">
        <v>0.42</v>
      </c>
      <c r="Q20" s="3">
        <f t="shared" si="2"/>
        <v>16.337999999999997</v>
      </c>
      <c r="R20" s="4">
        <f>0.46</f>
        <v>0.46</v>
      </c>
      <c r="S20" s="26">
        <f t="shared" si="3"/>
        <v>17.893999999999998</v>
      </c>
      <c r="T20" s="4">
        <v>5.3999999999999999E-2</v>
      </c>
      <c r="U20" s="4">
        <v>0.1</v>
      </c>
      <c r="V20" s="10">
        <v>7</v>
      </c>
    </row>
    <row r="21" spans="1:23">
      <c r="A21" s="12">
        <v>15</v>
      </c>
      <c r="B21" s="2">
        <v>34.700000000000003</v>
      </c>
      <c r="C21" s="4">
        <v>0.1</v>
      </c>
      <c r="D21" s="4">
        <v>0.59</v>
      </c>
      <c r="E21" s="4">
        <f>0.29</f>
        <v>0.28999999999999998</v>
      </c>
      <c r="F21" s="4">
        <f t="shared" si="0"/>
        <v>2.0000000000000018E-2</v>
      </c>
      <c r="G21" s="3">
        <v>64</v>
      </c>
      <c r="H21" s="4">
        <v>0.1</v>
      </c>
      <c r="I21" s="4">
        <v>3.9E-2</v>
      </c>
      <c r="J21" s="10">
        <v>11.7</v>
      </c>
      <c r="K21" s="2">
        <v>0.3</v>
      </c>
      <c r="L21" s="12">
        <v>15</v>
      </c>
      <c r="M21" s="2">
        <v>34.700000000000003</v>
      </c>
      <c r="N21" s="4">
        <v>0.1</v>
      </c>
      <c r="O21" s="3">
        <f t="shared" si="1"/>
        <v>3.4700000000000006</v>
      </c>
      <c r="P21" s="4">
        <v>0.59</v>
      </c>
      <c r="Q21" s="3">
        <f t="shared" si="2"/>
        <v>20.472999999999999</v>
      </c>
      <c r="R21" s="4">
        <f>0.29</f>
        <v>0.28999999999999998</v>
      </c>
      <c r="S21" s="26">
        <f t="shared" si="3"/>
        <v>10.063000000000001</v>
      </c>
      <c r="T21" s="4">
        <v>3.9E-2</v>
      </c>
      <c r="U21" s="4">
        <v>0.1</v>
      </c>
      <c r="V21" s="10">
        <v>11.7</v>
      </c>
    </row>
    <row r="22" spans="1:23">
      <c r="A22" s="12">
        <v>16</v>
      </c>
      <c r="B22" s="2">
        <v>33.1</v>
      </c>
      <c r="C22" s="4">
        <v>0.12</v>
      </c>
      <c r="D22" s="4">
        <v>0.61</v>
      </c>
      <c r="E22" s="4">
        <f>0.14</f>
        <v>0.14000000000000001</v>
      </c>
      <c r="F22" s="4">
        <f t="shared" si="0"/>
        <v>0.13</v>
      </c>
      <c r="G22" s="3">
        <v>123</v>
      </c>
      <c r="H22" s="4">
        <v>0.09</v>
      </c>
      <c r="I22" s="4">
        <v>6.0999999999999999E-2</v>
      </c>
      <c r="J22" s="10">
        <v>11.9</v>
      </c>
      <c r="K22" s="2">
        <v>0.1</v>
      </c>
      <c r="L22" s="12">
        <v>16</v>
      </c>
      <c r="M22" s="2">
        <v>33.1</v>
      </c>
      <c r="N22" s="4">
        <v>0.12</v>
      </c>
      <c r="O22" s="3">
        <f t="shared" si="1"/>
        <v>3.972</v>
      </c>
      <c r="P22" s="4">
        <v>0.61</v>
      </c>
      <c r="Q22" s="3">
        <f t="shared" si="2"/>
        <v>20.190999999999999</v>
      </c>
      <c r="R22" s="4">
        <f>0.14</f>
        <v>0.14000000000000001</v>
      </c>
      <c r="S22" s="26">
        <f t="shared" si="3"/>
        <v>4.6340000000000003</v>
      </c>
      <c r="T22" s="4">
        <v>6.0999999999999999E-2</v>
      </c>
      <c r="U22" s="4">
        <v>0.09</v>
      </c>
      <c r="V22" s="10">
        <v>11.9</v>
      </c>
    </row>
    <row r="23" spans="1:23">
      <c r="A23" s="12">
        <v>17</v>
      </c>
      <c r="B23" s="2">
        <v>51.1</v>
      </c>
      <c r="C23" s="4">
        <v>0.1</v>
      </c>
      <c r="D23" s="4">
        <v>0.79</v>
      </c>
      <c r="E23" s="4">
        <f>0.1</f>
        <v>0.1</v>
      </c>
      <c r="F23" s="4">
        <f t="shared" si="0"/>
        <v>1.0000000000000009E-2</v>
      </c>
      <c r="G23" s="3">
        <v>321</v>
      </c>
      <c r="H23" s="4">
        <v>0.03</v>
      </c>
      <c r="I23" s="4">
        <v>9.9000000000000005E-2</v>
      </c>
      <c r="J23" s="10">
        <v>36.1</v>
      </c>
      <c r="K23" s="2">
        <v>3.5</v>
      </c>
      <c r="L23" s="12">
        <v>17</v>
      </c>
      <c r="M23" s="2">
        <v>51.1</v>
      </c>
      <c r="N23" s="4">
        <v>0.1</v>
      </c>
      <c r="O23" s="3">
        <f t="shared" si="1"/>
        <v>5.1100000000000003</v>
      </c>
      <c r="P23" s="4">
        <v>0.79</v>
      </c>
      <c r="Q23" s="3">
        <f t="shared" si="2"/>
        <v>40.369</v>
      </c>
      <c r="R23" s="4">
        <f>0.1</f>
        <v>0.1</v>
      </c>
      <c r="S23" s="26">
        <f t="shared" si="3"/>
        <v>5.1100000000000003</v>
      </c>
      <c r="T23" s="4">
        <v>9.9000000000000005E-2</v>
      </c>
      <c r="U23" s="4">
        <v>0.03</v>
      </c>
      <c r="V23" s="10">
        <v>36.1</v>
      </c>
    </row>
    <row r="24" spans="1:23">
      <c r="A24" s="12">
        <v>18</v>
      </c>
      <c r="B24" s="2">
        <v>38.6</v>
      </c>
      <c r="C24" s="4">
        <v>0.12</v>
      </c>
      <c r="D24" s="4">
        <v>0.74</v>
      </c>
      <c r="E24" s="4">
        <f>0.03</f>
        <v>0.03</v>
      </c>
      <c r="F24" s="4">
        <f t="shared" si="0"/>
        <v>0.10999999999999999</v>
      </c>
      <c r="G24" s="3">
        <v>164</v>
      </c>
      <c r="H24" s="4">
        <v>7.0000000000000007E-2</v>
      </c>
      <c r="I24" s="4">
        <v>7.4999999999999997E-2</v>
      </c>
      <c r="J24" s="10">
        <v>16.8</v>
      </c>
      <c r="K24" s="2">
        <v>0.4</v>
      </c>
      <c r="L24" s="12">
        <v>18</v>
      </c>
      <c r="M24" s="2">
        <v>38.6</v>
      </c>
      <c r="N24" s="4">
        <v>0.12</v>
      </c>
      <c r="O24" s="3">
        <f t="shared" si="1"/>
        <v>4.6319999999999997</v>
      </c>
      <c r="P24" s="4">
        <v>0.74</v>
      </c>
      <c r="Q24" s="3">
        <f t="shared" si="2"/>
        <v>28.564</v>
      </c>
      <c r="R24" s="4">
        <f>0.03</f>
        <v>0.03</v>
      </c>
      <c r="S24" s="26">
        <f t="shared" si="3"/>
        <v>1.1579999999999999</v>
      </c>
      <c r="T24" s="4">
        <v>7.4999999999999997E-2</v>
      </c>
      <c r="U24" s="4">
        <v>7.0000000000000007E-2</v>
      </c>
      <c r="V24" s="10">
        <v>16.8</v>
      </c>
    </row>
    <row r="25" spans="1:23">
      <c r="A25" s="12">
        <v>19</v>
      </c>
      <c r="B25" s="2">
        <v>27.5</v>
      </c>
      <c r="C25" s="4">
        <v>0.08</v>
      </c>
      <c r="D25" s="4">
        <v>0.89</v>
      </c>
      <c r="E25" s="4">
        <f>0.02</f>
        <v>0.02</v>
      </c>
      <c r="F25" s="4">
        <f t="shared" si="0"/>
        <v>1.0000000000000009E-2</v>
      </c>
      <c r="G25" s="3">
        <v>81</v>
      </c>
      <c r="H25" s="4">
        <v>0.06</v>
      </c>
      <c r="I25" s="4">
        <v>7.3999999999999996E-2</v>
      </c>
      <c r="J25" s="10">
        <v>19.3</v>
      </c>
      <c r="K25" s="2">
        <v>3.8</v>
      </c>
      <c r="L25" s="12">
        <v>19</v>
      </c>
      <c r="M25" s="2">
        <v>27.5</v>
      </c>
      <c r="N25" s="4">
        <v>0.08</v>
      </c>
      <c r="O25" s="3">
        <f t="shared" si="1"/>
        <v>2.2000000000000002</v>
      </c>
      <c r="P25" s="4">
        <v>0.89</v>
      </c>
      <c r="Q25" s="3">
        <f t="shared" si="2"/>
        <v>24.475000000000001</v>
      </c>
      <c r="R25" s="4">
        <f>0.02</f>
        <v>0.02</v>
      </c>
      <c r="S25" s="26">
        <f t="shared" si="3"/>
        <v>0.55000000000000004</v>
      </c>
      <c r="T25" s="4">
        <v>7.3999999999999996E-2</v>
      </c>
      <c r="U25" s="4">
        <v>0.06</v>
      </c>
      <c r="V25" s="10">
        <v>19.3</v>
      </c>
    </row>
    <row r="26" spans="1:23">
      <c r="A26" s="12">
        <v>20</v>
      </c>
      <c r="B26" s="2">
        <v>22.2</v>
      </c>
      <c r="C26" s="4">
        <v>0.11</v>
      </c>
      <c r="D26" s="4">
        <v>0.87319999999999998</v>
      </c>
      <c r="E26" s="4">
        <f>0.01</f>
        <v>0.01</v>
      </c>
      <c r="F26" s="4">
        <f t="shared" si="0"/>
        <v>6.8000000000000282E-3</v>
      </c>
      <c r="G26" s="3">
        <v>38</v>
      </c>
      <c r="H26" s="4">
        <v>0.05</v>
      </c>
      <c r="I26" s="4">
        <v>9.1999999999999998E-2</v>
      </c>
      <c r="J26" s="10">
        <v>11.4</v>
      </c>
      <c r="K26" s="2">
        <v>7.2</v>
      </c>
      <c r="L26" s="12">
        <v>20</v>
      </c>
      <c r="M26" s="2">
        <v>22.2</v>
      </c>
      <c r="N26" s="4">
        <v>0.11</v>
      </c>
      <c r="O26" s="3">
        <f t="shared" si="1"/>
        <v>2.4419999999999997</v>
      </c>
      <c r="P26" s="4">
        <v>0.87319999999999998</v>
      </c>
      <c r="Q26" s="3">
        <f t="shared" si="2"/>
        <v>19.38504</v>
      </c>
      <c r="R26" s="4">
        <f>0.01</f>
        <v>0.01</v>
      </c>
      <c r="S26" s="26">
        <f t="shared" si="3"/>
        <v>0.222</v>
      </c>
      <c r="T26" s="4">
        <v>9.1999999999999998E-2</v>
      </c>
      <c r="U26" s="4">
        <v>0.05</v>
      </c>
      <c r="V26" s="10">
        <v>11.4</v>
      </c>
    </row>
    <row r="27" spans="1:23">
      <c r="B27" s="9"/>
      <c r="C27" s="5"/>
      <c r="D27" s="5"/>
      <c r="E27" s="5"/>
      <c r="F27" s="5"/>
      <c r="G27" s="25">
        <v>321</v>
      </c>
      <c r="H27" s="25">
        <f>MIN(H7:H26)</f>
        <v>0.02</v>
      </c>
      <c r="I27" s="25"/>
      <c r="J27" s="25">
        <f>MAX(J7:J26)</f>
        <v>36.1</v>
      </c>
      <c r="K27" s="29">
        <f>MIN(K7:K26)</f>
        <v>0.1</v>
      </c>
      <c r="N27" s="7" t="s">
        <v>28</v>
      </c>
      <c r="O27" s="3">
        <f>MAX(O7:O26)</f>
        <v>5.4450000000000003</v>
      </c>
      <c r="P27" s="7" t="s">
        <v>27</v>
      </c>
      <c r="Q27" s="3">
        <f>MAX(Q7:Q26)</f>
        <v>40.369</v>
      </c>
      <c r="R27" s="7" t="s">
        <v>29</v>
      </c>
      <c r="S27" s="3">
        <f>MAX(S7:S26)</f>
        <v>32.175000000000004</v>
      </c>
      <c r="T27" s="7"/>
      <c r="V27" s="7" t="s">
        <v>33</v>
      </c>
      <c r="W27" s="3">
        <f>MAX(W7:W26)</f>
        <v>0</v>
      </c>
    </row>
    <row r="28" spans="1:23">
      <c r="C28" s="5"/>
      <c r="E28" s="6"/>
      <c r="F28" s="6"/>
      <c r="K28" s="13">
        <f>MAX(K7:K26)</f>
        <v>9.5</v>
      </c>
    </row>
    <row r="29" spans="1:23">
      <c r="C29" s="2"/>
      <c r="D29" s="1"/>
      <c r="E29" s="6"/>
      <c r="F29" s="6"/>
    </row>
    <row r="30" spans="1:23">
      <c r="A30" s="7"/>
      <c r="C30" s="2"/>
      <c r="D30" s="1"/>
      <c r="E30" s="6"/>
      <c r="F30" s="6"/>
    </row>
    <row r="31" spans="1:23" ht="20.399999999999999" customHeight="1">
      <c r="A31" s="31" t="s">
        <v>39</v>
      </c>
      <c r="B31" s="8"/>
      <c r="C31" s="2"/>
      <c r="D31" s="1"/>
      <c r="E31" s="14"/>
      <c r="F31" s="14"/>
      <c r="G31" s="2"/>
      <c r="H31" s="15"/>
    </row>
    <row r="32" spans="1:23" ht="57.3" customHeight="1">
      <c r="A32" s="16" t="s">
        <v>11</v>
      </c>
      <c r="B32" s="16" t="s">
        <v>4</v>
      </c>
      <c r="C32" s="16" t="s">
        <v>3</v>
      </c>
      <c r="D32" s="16" t="s">
        <v>2</v>
      </c>
      <c r="E32" s="16" t="s">
        <v>1</v>
      </c>
      <c r="F32" s="16" t="s">
        <v>12</v>
      </c>
      <c r="G32" s="19" t="s">
        <v>9</v>
      </c>
      <c r="H32" s="19" t="s">
        <v>10</v>
      </c>
      <c r="I32" s="16" t="s">
        <v>26</v>
      </c>
      <c r="J32" s="16" t="s">
        <v>5</v>
      </c>
      <c r="K32" s="19"/>
      <c r="L32" s="19" t="s">
        <v>36</v>
      </c>
    </row>
    <row r="33" spans="1:12">
      <c r="A33" s="12">
        <v>1</v>
      </c>
      <c r="B33" s="2">
        <v>23.3</v>
      </c>
      <c r="C33" s="27">
        <f>wet_score(C7*B7)</f>
        <v>0.42791551882460971</v>
      </c>
      <c r="D33" s="27">
        <f>grass_score(D7*B7)</f>
        <v>0.27704426664024373</v>
      </c>
      <c r="E33" s="27">
        <f>forest_score(E7*B7)</f>
        <v>0.2606993006993007</v>
      </c>
      <c r="F33" s="27">
        <f>other_score(F7*B7)</f>
        <v>0.20953237410071962</v>
      </c>
      <c r="G33" s="27">
        <f t="shared" ref="G33:G52" si="4">duck_score(G7)</f>
        <v>0</v>
      </c>
      <c r="H33" s="27">
        <f>1-H7</f>
        <v>0.31999999999999995</v>
      </c>
      <c r="I33" s="27" t="e">
        <f ca="1">soil_score(W7)</f>
        <v>#NAME?</v>
      </c>
      <c r="J33" s="10">
        <f>Coastline_score(J7)</f>
        <v>0.33518005540166201</v>
      </c>
      <c r="K33" s="2"/>
      <c r="L33" s="3">
        <v>1</v>
      </c>
    </row>
    <row r="34" spans="1:12">
      <c r="A34" s="12">
        <v>2</v>
      </c>
      <c r="B34" s="2">
        <v>39.700000000000003</v>
      </c>
      <c r="C34" s="27">
        <f t="shared" ref="C34:C52" si="5">wet_score(C8*B8)</f>
        <v>0.72910927456382013</v>
      </c>
      <c r="D34" s="27">
        <f t="shared" ref="D34:D52" si="6">grass_score(D8*B8)</f>
        <v>0.53105105402660469</v>
      </c>
      <c r="E34" s="27">
        <f t="shared" ref="E34:E52" si="7">forest_score(E8*B8)</f>
        <v>0.40717948717948727</v>
      </c>
      <c r="F34" s="27">
        <f t="shared" ref="F34:F52" si="8">other_score(F8*B8)</f>
        <v>0.17850719424460451</v>
      </c>
      <c r="G34" s="27">
        <f t="shared" si="4"/>
        <v>0</v>
      </c>
      <c r="H34" s="27">
        <f t="shared" ref="H34:H53" si="9">1-H8</f>
        <v>0.38</v>
      </c>
      <c r="I34" s="27" t="e">
        <f ca="1">soil_score(W8)</f>
        <v>#NAME?</v>
      </c>
      <c r="J34" s="10">
        <f>Coastline_score(J8)</f>
        <v>0.59556786703601106</v>
      </c>
      <c r="K34" s="2"/>
      <c r="L34" s="3">
        <v>0.68452478598230704</v>
      </c>
    </row>
    <row r="35" spans="1:12">
      <c r="A35" s="12">
        <v>3</v>
      </c>
      <c r="B35" s="2">
        <v>11.7</v>
      </c>
      <c r="C35" s="27">
        <f t="shared" si="5"/>
        <v>0.25785123966942147</v>
      </c>
      <c r="D35" s="27">
        <f t="shared" si="6"/>
        <v>0.25504718967524587</v>
      </c>
      <c r="E35" s="27">
        <f t="shared" si="7"/>
        <v>0</v>
      </c>
      <c r="F35" s="27">
        <f t="shared" si="8"/>
        <v>0</v>
      </c>
      <c r="G35" s="27">
        <f t="shared" si="4"/>
        <v>0</v>
      </c>
      <c r="H35" s="27">
        <f t="shared" si="9"/>
        <v>0.44999999999999996</v>
      </c>
      <c r="I35" s="27" t="e">
        <f ca="1">soil_score(W9)</f>
        <v>#NAME?</v>
      </c>
      <c r="J35" s="10">
        <f>Coastline_score(J9)</f>
        <v>0.17174515235457063</v>
      </c>
      <c r="K35" s="2"/>
      <c r="L35" s="3">
        <v>0.36992780610678799</v>
      </c>
    </row>
    <row r="36" spans="1:12">
      <c r="A36" s="12">
        <v>4</v>
      </c>
      <c r="B36" s="2">
        <v>49.5</v>
      </c>
      <c r="C36" s="27">
        <f t="shared" si="5"/>
        <v>1</v>
      </c>
      <c r="D36" s="27">
        <f t="shared" si="6"/>
        <v>0.26976145061804851</v>
      </c>
      <c r="E36" s="27">
        <f t="shared" si="7"/>
        <v>1.0000000000000002</v>
      </c>
      <c r="F36" s="27">
        <f t="shared" si="8"/>
        <v>0.14838129496402891</v>
      </c>
      <c r="G36" s="27">
        <f t="shared" si="4"/>
        <v>0</v>
      </c>
      <c r="H36" s="27">
        <f t="shared" si="9"/>
        <v>0.57000000000000006</v>
      </c>
      <c r="I36" s="27" t="e">
        <f ca="1">soil_score(W10)</f>
        <v>#NAME?</v>
      </c>
      <c r="J36" s="10">
        <f>Coastline_score(J10)</f>
        <v>0.49030470914127422</v>
      </c>
      <c r="K36" s="2"/>
      <c r="L36" s="3">
        <v>0</v>
      </c>
    </row>
    <row r="37" spans="1:12">
      <c r="A37" s="12">
        <v>5</v>
      </c>
      <c r="B37" s="2">
        <v>36.1</v>
      </c>
      <c r="C37" s="27">
        <f t="shared" si="5"/>
        <v>0.46409550045913683</v>
      </c>
      <c r="D37" s="27">
        <f t="shared" si="6"/>
        <v>0.64386038792142486</v>
      </c>
      <c r="E37" s="27">
        <f t="shared" si="7"/>
        <v>0.13463869463869466</v>
      </c>
      <c r="F37" s="27">
        <f t="shared" si="8"/>
        <v>0.48696043165467617</v>
      </c>
      <c r="G37" s="27">
        <f t="shared" si="4"/>
        <v>0</v>
      </c>
      <c r="H37" s="27">
        <f t="shared" si="9"/>
        <v>0.67999999999999994</v>
      </c>
      <c r="I37" s="27" t="e">
        <f ca="1">soil_score(W11)</f>
        <v>#NAME?</v>
      </c>
      <c r="J37" s="10">
        <f t="shared" ref="J37:J52" si="10">Coastline_score(J11)</f>
        <v>9.4182825484764532E-2</v>
      </c>
      <c r="K37" s="2"/>
      <c r="L37" s="3">
        <v>0</v>
      </c>
    </row>
    <row r="38" spans="1:12">
      <c r="A38" s="12">
        <v>6</v>
      </c>
      <c r="B38" s="2">
        <v>38.1</v>
      </c>
      <c r="C38" s="27">
        <f t="shared" si="5"/>
        <v>0.48980716253443529</v>
      </c>
      <c r="D38" s="27">
        <f t="shared" si="6"/>
        <v>0.80222447917956841</v>
      </c>
      <c r="E38" s="27">
        <f t="shared" si="7"/>
        <v>4.736596736596739E-2</v>
      </c>
      <c r="F38" s="27">
        <f t="shared" si="8"/>
        <v>0.22841726618705058</v>
      </c>
      <c r="G38" s="27">
        <f t="shared" si="4"/>
        <v>0</v>
      </c>
      <c r="H38" s="27">
        <f t="shared" si="9"/>
        <v>0.75</v>
      </c>
      <c r="I38" s="27" t="e">
        <f t="shared" ref="I38:I52" ca="1" si="11">soil_score(W12)</f>
        <v>#NAME?</v>
      </c>
      <c r="J38" s="10">
        <f t="shared" si="10"/>
        <v>0.29085872576177285</v>
      </c>
      <c r="K38" s="2"/>
      <c r="L38" s="3">
        <v>0.396457001415087</v>
      </c>
    </row>
    <row r="39" spans="1:12">
      <c r="A39" s="12">
        <v>7</v>
      </c>
      <c r="B39" s="2">
        <v>32.5</v>
      </c>
      <c r="C39" s="27">
        <f t="shared" si="5"/>
        <v>0.71625344352617071</v>
      </c>
      <c r="D39" s="27">
        <f t="shared" si="6"/>
        <v>0.5152468478287795</v>
      </c>
      <c r="E39" s="27">
        <f t="shared" si="7"/>
        <v>0.15151515151515152</v>
      </c>
      <c r="F39" s="27">
        <f t="shared" si="8"/>
        <v>0.43839928057553945</v>
      </c>
      <c r="G39" s="27">
        <f t="shared" si="4"/>
        <v>9.3457943925233638E-3</v>
      </c>
      <c r="H39" s="27">
        <f t="shared" si="9"/>
        <v>0.78</v>
      </c>
      <c r="I39" s="27" t="e">
        <f t="shared" ca="1" si="11"/>
        <v>#NAME?</v>
      </c>
      <c r="J39" s="10">
        <f t="shared" si="10"/>
        <v>0.48199445983379496</v>
      </c>
      <c r="K39" s="2"/>
      <c r="L39" s="3">
        <v>0</v>
      </c>
    </row>
    <row r="40" spans="1:12">
      <c r="A40" s="12">
        <v>8</v>
      </c>
      <c r="B40" s="2">
        <v>34.700000000000003</v>
      </c>
      <c r="C40" s="27">
        <f t="shared" si="5"/>
        <v>0.63728191000918277</v>
      </c>
      <c r="D40" s="27">
        <f t="shared" si="6"/>
        <v>0.49855086824048161</v>
      </c>
      <c r="E40" s="27">
        <f t="shared" si="7"/>
        <v>0.26961926961926969</v>
      </c>
      <c r="F40" s="27">
        <f t="shared" si="8"/>
        <v>0.36405875299760232</v>
      </c>
      <c r="G40" s="27">
        <f t="shared" si="4"/>
        <v>1.2461059190031152E-2</v>
      </c>
      <c r="H40" s="27">
        <f t="shared" si="9"/>
        <v>0.88</v>
      </c>
      <c r="I40" s="27" t="e">
        <f t="shared" ca="1" si="11"/>
        <v>#NAME?</v>
      </c>
      <c r="J40" s="10">
        <f t="shared" si="10"/>
        <v>0.20221606648199444</v>
      </c>
      <c r="K40" s="2"/>
      <c r="L40" s="3">
        <v>0.251907621100665</v>
      </c>
    </row>
    <row r="41" spans="1:12">
      <c r="A41" s="12">
        <v>9</v>
      </c>
      <c r="B41" s="2">
        <v>40.6</v>
      </c>
      <c r="C41" s="27">
        <f t="shared" si="5"/>
        <v>7.4563820018365479E-2</v>
      </c>
      <c r="D41" s="27">
        <f t="shared" si="6"/>
        <v>0.92526443558175842</v>
      </c>
      <c r="E41" s="27">
        <f t="shared" si="7"/>
        <v>7.5710955710955721E-2</v>
      </c>
      <c r="F41" s="27">
        <f t="shared" si="8"/>
        <v>6.0851318944844184E-2</v>
      </c>
      <c r="G41" s="27">
        <f t="shared" si="4"/>
        <v>1.5576323987538941E-2</v>
      </c>
      <c r="H41" s="27">
        <f t="shared" si="9"/>
        <v>0.89</v>
      </c>
      <c r="I41" s="27" t="e">
        <f t="shared" ca="1" si="11"/>
        <v>#NAME?</v>
      </c>
      <c r="J41" s="10">
        <f t="shared" si="10"/>
        <v>5.2631578947368418E-2</v>
      </c>
      <c r="K41" s="2"/>
      <c r="L41" s="3">
        <v>0.27469926504289</v>
      </c>
    </row>
    <row r="42" spans="1:12">
      <c r="A42" s="12">
        <v>10</v>
      </c>
      <c r="B42" s="2">
        <v>18.3</v>
      </c>
      <c r="C42" s="27">
        <f t="shared" si="5"/>
        <v>0.57134986225895312</v>
      </c>
      <c r="D42" s="27">
        <f t="shared" si="6"/>
        <v>0.35358814932249999</v>
      </c>
      <c r="E42" s="27">
        <f t="shared" si="7"/>
        <v>1.7062937062937066E-2</v>
      </c>
      <c r="F42" s="27">
        <f t="shared" si="8"/>
        <v>5.4856115107913418E-2</v>
      </c>
      <c r="G42" s="27">
        <f t="shared" si="4"/>
        <v>4.0498442367601244E-2</v>
      </c>
      <c r="H42" s="27">
        <f t="shared" si="9"/>
        <v>0.9</v>
      </c>
      <c r="I42" s="27" t="e">
        <f t="shared" ca="1" si="11"/>
        <v>#NAME?</v>
      </c>
      <c r="J42" s="10">
        <f t="shared" si="10"/>
        <v>0.2936288088642659</v>
      </c>
      <c r="K42" s="2"/>
      <c r="L42" s="3">
        <v>0.50408253515900403</v>
      </c>
    </row>
    <row r="43" spans="1:12">
      <c r="A43" s="12">
        <v>11</v>
      </c>
      <c r="B43" s="2">
        <v>41.7</v>
      </c>
      <c r="C43" s="27">
        <f t="shared" si="5"/>
        <v>0.53608815426997247</v>
      </c>
      <c r="D43" s="27">
        <f t="shared" si="6"/>
        <v>0.475166588223637</v>
      </c>
      <c r="E43" s="27">
        <f t="shared" si="7"/>
        <v>0.40177156177156187</v>
      </c>
      <c r="F43" s="27">
        <f t="shared" si="8"/>
        <v>0.99999999999999956</v>
      </c>
      <c r="G43" s="27">
        <f t="shared" si="4"/>
        <v>5.2959501557632398E-2</v>
      </c>
      <c r="H43" s="27">
        <f t="shared" si="9"/>
        <v>0.98</v>
      </c>
      <c r="I43" s="27" t="e">
        <f t="shared" ca="1" si="11"/>
        <v>#NAME?</v>
      </c>
      <c r="J43" s="10">
        <f t="shared" si="10"/>
        <v>0.23545706371191136</v>
      </c>
      <c r="K43" s="2"/>
      <c r="L43" s="3">
        <v>0.45285972549850201</v>
      </c>
    </row>
    <row r="44" spans="1:12">
      <c r="A44" s="12">
        <v>12</v>
      </c>
      <c r="B44" s="2">
        <v>38.299999999999997</v>
      </c>
      <c r="C44" s="27">
        <f t="shared" si="5"/>
        <v>0.42203856749311286</v>
      </c>
      <c r="D44" s="27">
        <f t="shared" si="6"/>
        <v>0.73053580717877575</v>
      </c>
      <c r="E44" s="27">
        <f t="shared" si="7"/>
        <v>9.5229215229215236E-2</v>
      </c>
      <c r="F44" s="27">
        <f t="shared" si="8"/>
        <v>0.51663669064748186</v>
      </c>
      <c r="G44" s="27">
        <f t="shared" si="4"/>
        <v>6.5420560747663545E-2</v>
      </c>
      <c r="H44" s="27">
        <f t="shared" si="9"/>
        <v>0.91</v>
      </c>
      <c r="I44" s="27" t="e">
        <f t="shared" ca="1" si="11"/>
        <v>#NAME?</v>
      </c>
      <c r="J44" s="10">
        <f t="shared" si="10"/>
        <v>0.25761772853185594</v>
      </c>
      <c r="K44" s="2"/>
      <c r="L44" s="3">
        <v>0.39822417282286898</v>
      </c>
    </row>
    <row r="45" spans="1:12">
      <c r="A45" s="12">
        <v>13</v>
      </c>
      <c r="B45" s="2">
        <v>20.8</v>
      </c>
      <c r="C45" s="27">
        <f t="shared" si="5"/>
        <v>0.11460055096418732</v>
      </c>
      <c r="D45" s="27">
        <f t="shared" si="6"/>
        <v>0.28853823478411655</v>
      </c>
      <c r="E45" s="27">
        <f t="shared" si="7"/>
        <v>0.18747474747474749</v>
      </c>
      <c r="F45" s="27">
        <f t="shared" si="8"/>
        <v>0.3741007194244601</v>
      </c>
      <c r="G45" s="27">
        <f t="shared" si="4"/>
        <v>9.9688473520249218E-2</v>
      </c>
      <c r="H45" s="27">
        <f t="shared" si="9"/>
        <v>0.91</v>
      </c>
      <c r="I45" s="27" t="e">
        <f t="shared" ca="1" si="11"/>
        <v>#NAME?</v>
      </c>
      <c r="J45" s="10">
        <f t="shared" si="10"/>
        <v>0.10526315789473684</v>
      </c>
      <c r="K45" s="2"/>
      <c r="L45" s="3">
        <v>0.392112826582171</v>
      </c>
    </row>
    <row r="46" spans="1:12">
      <c r="A46" s="12">
        <v>14</v>
      </c>
      <c r="B46" s="2">
        <v>38.9</v>
      </c>
      <c r="C46" s="27">
        <f t="shared" si="5"/>
        <v>0.42865013774104677</v>
      </c>
      <c r="D46" s="27">
        <f t="shared" si="6"/>
        <v>0.40471649037627877</v>
      </c>
      <c r="E46" s="27">
        <f t="shared" si="7"/>
        <v>0.55614607614607614</v>
      </c>
      <c r="F46" s="27">
        <f t="shared" si="8"/>
        <v>0.34982014388489235</v>
      </c>
      <c r="G46" s="27">
        <f t="shared" si="4"/>
        <v>0.15887850467289719</v>
      </c>
      <c r="H46" s="27">
        <f t="shared" si="9"/>
        <v>0.9</v>
      </c>
      <c r="I46" s="27" t="e">
        <f t="shared" ca="1" si="11"/>
        <v>#NAME?</v>
      </c>
      <c r="J46" s="10">
        <f t="shared" si="10"/>
        <v>0.19390581717451522</v>
      </c>
      <c r="K46" s="2"/>
      <c r="L46" s="3">
        <v>0</v>
      </c>
    </row>
    <row r="47" spans="1:12">
      <c r="A47" s="12">
        <v>15</v>
      </c>
      <c r="B47" s="2">
        <v>34.700000000000003</v>
      </c>
      <c r="C47" s="27">
        <f t="shared" si="5"/>
        <v>0.63728191000918277</v>
      </c>
      <c r="D47" s="27">
        <f t="shared" si="6"/>
        <v>0.50714657286531739</v>
      </c>
      <c r="E47" s="27">
        <f t="shared" si="7"/>
        <v>0.31275835275835279</v>
      </c>
      <c r="F47" s="27">
        <f t="shared" si="8"/>
        <v>0.10401678657074352</v>
      </c>
      <c r="G47" s="27">
        <f t="shared" si="4"/>
        <v>0.19937694704049844</v>
      </c>
      <c r="H47" s="27">
        <f t="shared" si="9"/>
        <v>0.9</v>
      </c>
      <c r="I47" s="27" t="e">
        <f t="shared" ca="1" si="11"/>
        <v>#NAME?</v>
      </c>
      <c r="J47" s="10">
        <f t="shared" si="10"/>
        <v>0.32409972299168971</v>
      </c>
      <c r="K47" s="2"/>
      <c r="L47" s="3">
        <v>0</v>
      </c>
    </row>
    <row r="48" spans="1:12">
      <c r="A48" s="12">
        <v>16</v>
      </c>
      <c r="B48" s="2">
        <v>33.1</v>
      </c>
      <c r="C48" s="27">
        <f t="shared" si="5"/>
        <v>0.72947658402203852</v>
      </c>
      <c r="D48" s="27">
        <f t="shared" si="6"/>
        <v>0.50016101463994644</v>
      </c>
      <c r="E48" s="27">
        <f t="shared" si="7"/>
        <v>0.14402486402486406</v>
      </c>
      <c r="F48" s="27">
        <f t="shared" si="8"/>
        <v>0.64493405275779381</v>
      </c>
      <c r="G48" s="27">
        <f t="shared" si="4"/>
        <v>0.38317757009345793</v>
      </c>
      <c r="H48" s="27">
        <f t="shared" si="9"/>
        <v>0.91</v>
      </c>
      <c r="I48" s="27" t="e">
        <f t="shared" ca="1" si="11"/>
        <v>#NAME?</v>
      </c>
      <c r="J48" s="10">
        <f t="shared" si="10"/>
        <v>0.32963988919667592</v>
      </c>
      <c r="K48" s="2"/>
      <c r="L48" s="3">
        <v>0</v>
      </c>
    </row>
    <row r="49" spans="1:14">
      <c r="A49" s="12">
        <v>17</v>
      </c>
      <c r="B49" s="2">
        <v>51.1</v>
      </c>
      <c r="C49" s="27">
        <f t="shared" si="5"/>
        <v>0.93847566574839303</v>
      </c>
      <c r="D49" s="27">
        <f t="shared" si="6"/>
        <v>1</v>
      </c>
      <c r="E49" s="27">
        <f t="shared" si="7"/>
        <v>0.15881895881895886</v>
      </c>
      <c r="F49" s="27">
        <f t="shared" si="8"/>
        <v>7.6588729016786636E-2</v>
      </c>
      <c r="G49" s="27">
        <f t="shared" si="4"/>
        <v>1</v>
      </c>
      <c r="H49" s="27">
        <f t="shared" si="9"/>
        <v>0.97</v>
      </c>
      <c r="I49" s="27" t="e">
        <f t="shared" ca="1" si="11"/>
        <v>#NAME?</v>
      </c>
      <c r="J49" s="10">
        <f t="shared" si="10"/>
        <v>1</v>
      </c>
      <c r="K49" s="2"/>
      <c r="L49" s="3">
        <v>0.35983745699072001</v>
      </c>
    </row>
    <row r="50" spans="1:14">
      <c r="A50" s="12">
        <v>18</v>
      </c>
      <c r="B50" s="2">
        <v>38.6</v>
      </c>
      <c r="C50" s="27">
        <f t="shared" si="5"/>
        <v>0.85068870523415963</v>
      </c>
      <c r="D50" s="27">
        <f t="shared" si="6"/>
        <v>0.70757264237409889</v>
      </c>
      <c r="E50" s="27">
        <f t="shared" si="7"/>
        <v>3.5990675990675992E-2</v>
      </c>
      <c r="F50" s="27">
        <f t="shared" si="8"/>
        <v>0.63639088729016779</v>
      </c>
      <c r="G50" s="27">
        <f t="shared" si="4"/>
        <v>0.5109034267912772</v>
      </c>
      <c r="H50" s="27">
        <f t="shared" si="9"/>
        <v>0.92999999999999994</v>
      </c>
      <c r="I50" s="27" t="e">
        <f t="shared" ca="1" si="11"/>
        <v>#NAME?</v>
      </c>
      <c r="J50" s="10">
        <f t="shared" si="10"/>
        <v>0.46537396121883656</v>
      </c>
      <c r="K50" s="2"/>
      <c r="L50" s="3">
        <v>0</v>
      </c>
    </row>
    <row r="51" spans="1:14">
      <c r="A51" s="12">
        <v>19</v>
      </c>
      <c r="B51" s="2">
        <v>27.5</v>
      </c>
      <c r="C51" s="27">
        <f t="shared" si="5"/>
        <v>0.40404040404040403</v>
      </c>
      <c r="D51" s="27">
        <f t="shared" si="6"/>
        <v>0.60628204810622011</v>
      </c>
      <c r="E51" s="27">
        <f t="shared" si="7"/>
        <v>1.7094017094017096E-2</v>
      </c>
      <c r="F51" s="27">
        <f t="shared" si="8"/>
        <v>4.1217026378896918E-2</v>
      </c>
      <c r="G51" s="27">
        <f t="shared" si="4"/>
        <v>0.25233644859813081</v>
      </c>
      <c r="H51" s="27">
        <f t="shared" si="9"/>
        <v>0.94</v>
      </c>
      <c r="I51" s="27" t="e">
        <f t="shared" ca="1" si="11"/>
        <v>#NAME?</v>
      </c>
      <c r="J51" s="10">
        <f t="shared" si="10"/>
        <v>0.53462603878116344</v>
      </c>
      <c r="K51" s="2"/>
      <c r="L51" s="3">
        <v>0.39338024142664002</v>
      </c>
    </row>
    <row r="52" spans="1:14">
      <c r="A52" s="12">
        <v>20</v>
      </c>
      <c r="B52" s="2">
        <v>22.2</v>
      </c>
      <c r="C52" s="27">
        <f t="shared" si="5"/>
        <v>0.44848484848484843</v>
      </c>
      <c r="D52" s="27">
        <f t="shared" si="6"/>
        <v>0.48019619014590403</v>
      </c>
      <c r="E52" s="27">
        <f t="shared" si="7"/>
        <v>6.8997668997669006E-3</v>
      </c>
      <c r="F52" s="27">
        <f t="shared" si="8"/>
        <v>2.2625899280575634E-2</v>
      </c>
      <c r="G52" s="27">
        <f t="shared" si="4"/>
        <v>0.11838006230529595</v>
      </c>
      <c r="H52" s="27">
        <f t="shared" si="9"/>
        <v>0.95</v>
      </c>
      <c r="I52" s="27" t="e">
        <f t="shared" ca="1" si="11"/>
        <v>#NAME?</v>
      </c>
      <c r="J52" s="10">
        <f t="shared" si="10"/>
        <v>0.31578947368421051</v>
      </c>
      <c r="K52" s="2"/>
      <c r="L52" s="3">
        <v>0.75531638073696705</v>
      </c>
    </row>
    <row r="53" spans="1:14">
      <c r="C53" s="28">
        <f t="shared" ref="C53:J53" si="12">MAX(C33:C52)</f>
        <v>1</v>
      </c>
      <c r="D53" s="28">
        <f t="shared" si="12"/>
        <v>1</v>
      </c>
      <c r="E53" s="28">
        <f t="shared" si="12"/>
        <v>1.0000000000000002</v>
      </c>
      <c r="F53" s="28">
        <f t="shared" si="12"/>
        <v>0.99999999999999956</v>
      </c>
      <c r="G53" s="27">
        <f t="shared" si="12"/>
        <v>1</v>
      </c>
      <c r="H53" s="27">
        <f t="shared" si="9"/>
        <v>0.98</v>
      </c>
      <c r="I53" s="28" t="e">
        <f t="shared" ca="1" si="12"/>
        <v>#NAME?</v>
      </c>
      <c r="J53" s="10">
        <f t="shared" si="12"/>
        <v>1</v>
      </c>
    </row>
    <row r="54" spans="1:14">
      <c r="G54" s="2"/>
    </row>
    <row r="55" spans="1:14">
      <c r="G55" s="2"/>
      <c r="L55" s="7" t="s">
        <v>41</v>
      </c>
      <c r="M55" s="32" t="s">
        <v>42</v>
      </c>
      <c r="N55" s="7"/>
    </row>
    <row r="56" spans="1:14">
      <c r="A56" s="33" t="s">
        <v>37</v>
      </c>
      <c r="B56" s="33"/>
      <c r="C56" s="33"/>
      <c r="D56" s="33"/>
      <c r="E56" s="33"/>
      <c r="F56" s="33"/>
      <c r="G56" s="33"/>
      <c r="H56" s="33"/>
      <c r="I56" s="33"/>
      <c r="J56" s="33"/>
      <c r="K56" s="33"/>
      <c r="L56" s="33"/>
    </row>
    <row r="57" spans="1:14" ht="46.8">
      <c r="A57" s="16" t="s">
        <v>11</v>
      </c>
      <c r="B57" s="16" t="s">
        <v>34</v>
      </c>
      <c r="C57" s="16" t="s">
        <v>35</v>
      </c>
      <c r="D57" s="16" t="s">
        <v>43</v>
      </c>
      <c r="E57" s="16" t="s">
        <v>46</v>
      </c>
      <c r="F57" s="16" t="s">
        <v>44</v>
      </c>
      <c r="G57" s="19"/>
      <c r="H57" s="19"/>
      <c r="I57" s="16"/>
      <c r="J57" s="16"/>
      <c r="K57" s="19"/>
    </row>
    <row r="58" spans="1:14">
      <c r="A58" s="12">
        <v>1</v>
      </c>
      <c r="B58" s="2" t="e">
        <f ca="1">agriculture_score(Q7,W7)/B80</f>
        <v>#NAME?</v>
      </c>
      <c r="C58" s="27">
        <f>fishing_score(H33, J7)/18.172</f>
        <v>0.37666705051099381</v>
      </c>
      <c r="D58" s="27">
        <f>privatehousing_score(D33,J33)</f>
        <v>0.30611216102095284</v>
      </c>
      <c r="E58" s="27">
        <f>recreation_score(D33, E33, J33)</f>
        <v>0.29097454091373548</v>
      </c>
      <c r="F58" s="27">
        <f>conservation_score(G33, C33)</f>
        <v>0.21395775941230485</v>
      </c>
      <c r="G58" s="27"/>
      <c r="H58" s="27"/>
      <c r="I58" s="27"/>
      <c r="J58" s="10"/>
      <c r="K58" s="2"/>
    </row>
    <row r="59" spans="1:14">
      <c r="A59" s="12">
        <v>2</v>
      </c>
      <c r="B59" s="2" t="e">
        <f ca="1">agriculture_score(Q8,W8)/80.70298239</f>
        <v>#NAME?</v>
      </c>
      <c r="C59" s="27">
        <f t="shared" ref="C59:C77" si="13">fishing_score(H34, J8)/18.172</f>
        <v>0.7293357971815595</v>
      </c>
      <c r="D59" s="27">
        <f t="shared" ref="D59:D77" si="14">privatehousing_score(D34,J34)</f>
        <v>0.56330946053130782</v>
      </c>
      <c r="E59" s="27">
        <f t="shared" ref="E59:E77" si="15">recreation_score(D34, E34, J34)</f>
        <v>0.51126613608070104</v>
      </c>
      <c r="F59" s="27">
        <f t="shared" ref="F59:F77" si="16">conservation_score(G34, C34)</f>
        <v>0.36455463728191007</v>
      </c>
      <c r="G59" s="27"/>
      <c r="H59" s="27"/>
      <c r="I59" s="27"/>
      <c r="J59" s="10"/>
      <c r="K59" s="2"/>
    </row>
    <row r="60" spans="1:14">
      <c r="A60" s="12">
        <v>3</v>
      </c>
      <c r="B60" s="2" t="e">
        <f t="shared" ref="B60:B77" ca="1" si="17">agriculture_score(Q9,W9)/80.70298239</f>
        <v>#NAME?</v>
      </c>
      <c r="C60" s="27">
        <f t="shared" si="13"/>
        <v>0.22887334570490916</v>
      </c>
      <c r="D60" s="27">
        <f t="shared" si="14"/>
        <v>0.21339617101490826</v>
      </c>
      <c r="E60" s="27">
        <f t="shared" si="15"/>
        <v>0.14226411400993885</v>
      </c>
      <c r="F60" s="27">
        <f t="shared" si="16"/>
        <v>0.12892561983471074</v>
      </c>
      <c r="G60" s="27"/>
      <c r="H60" s="27"/>
      <c r="I60" s="27"/>
      <c r="J60" s="10"/>
      <c r="K60" s="2"/>
    </row>
    <row r="61" spans="1:14">
      <c r="A61" s="12">
        <v>4</v>
      </c>
      <c r="B61" s="2" t="e">
        <f t="shared" ca="1" si="17"/>
        <v>#NAME?</v>
      </c>
      <c r="C61" s="27">
        <f t="shared" si="13"/>
        <v>0.73537348395494306</v>
      </c>
      <c r="D61" s="27">
        <f t="shared" si="14"/>
        <v>0.3800330798796614</v>
      </c>
      <c r="E61" s="27">
        <f t="shared" si="15"/>
        <v>0.58668871991977434</v>
      </c>
      <c r="F61" s="27">
        <f t="shared" si="16"/>
        <v>0.5</v>
      </c>
      <c r="G61" s="27"/>
      <c r="H61" s="27"/>
      <c r="I61" s="27"/>
      <c r="J61" s="10"/>
      <c r="K61" s="2"/>
    </row>
    <row r="62" spans="1:14">
      <c r="A62" s="12">
        <v>5</v>
      </c>
      <c r="B62" s="2" t="e">
        <f t="shared" ca="1" si="17"/>
        <v>#NAME?</v>
      </c>
      <c r="C62" s="27">
        <f t="shared" si="13"/>
        <v>0.15428746562954043</v>
      </c>
      <c r="D62" s="27">
        <f t="shared" si="14"/>
        <v>0.3690216067030947</v>
      </c>
      <c r="E62" s="27">
        <f t="shared" si="15"/>
        <v>0.29089396934829465</v>
      </c>
      <c r="F62" s="27">
        <f t="shared" si="16"/>
        <v>0.23204775022956842</v>
      </c>
      <c r="G62" s="27"/>
      <c r="H62" s="27"/>
      <c r="I62" s="27"/>
      <c r="J62" s="10"/>
      <c r="K62" s="2"/>
    </row>
    <row r="63" spans="1:14">
      <c r="A63" s="12">
        <v>6</v>
      </c>
      <c r="B63" s="2" t="e">
        <f t="shared" ca="1" si="17"/>
        <v>#NAME?</v>
      </c>
      <c r="C63" s="27">
        <f t="shared" si="13"/>
        <v>0.50039988662429047</v>
      </c>
      <c r="D63" s="27">
        <f t="shared" si="14"/>
        <v>0.54654160247067063</v>
      </c>
      <c r="E63" s="27">
        <f t="shared" si="15"/>
        <v>0.38014972410243625</v>
      </c>
      <c r="F63" s="27">
        <f t="shared" si="16"/>
        <v>0.24490358126721765</v>
      </c>
      <c r="G63" s="27"/>
      <c r="H63" s="27"/>
      <c r="I63" s="27"/>
      <c r="J63" s="10"/>
      <c r="K63" s="2"/>
    </row>
    <row r="64" spans="1:14">
      <c r="A64" s="12">
        <v>7</v>
      </c>
      <c r="B64" s="2" t="e">
        <f t="shared" ca="1" si="17"/>
        <v>#NAME?</v>
      </c>
      <c r="C64" s="27">
        <f t="shared" si="13"/>
        <v>0.84565616923896392</v>
      </c>
      <c r="D64" s="27">
        <f t="shared" si="14"/>
        <v>0.49862065383128723</v>
      </c>
      <c r="E64" s="27">
        <f t="shared" si="15"/>
        <v>0.38291881972590863</v>
      </c>
      <c r="F64" s="27">
        <f t="shared" si="16"/>
        <v>0.36279961895934704</v>
      </c>
      <c r="G64" s="27"/>
      <c r="H64" s="27"/>
      <c r="I64" s="27"/>
      <c r="J64" s="10"/>
      <c r="K64" s="2"/>
    </row>
    <row r="65" spans="1:11">
      <c r="A65" s="12">
        <v>8</v>
      </c>
      <c r="B65" s="2" t="e">
        <f t="shared" ca="1" si="17"/>
        <v>#NAME?</v>
      </c>
      <c r="C65" s="27">
        <f t="shared" si="13"/>
        <v>0.3768438812096746</v>
      </c>
      <c r="D65" s="27">
        <f t="shared" si="14"/>
        <v>0.35038346736123804</v>
      </c>
      <c r="E65" s="27">
        <f t="shared" si="15"/>
        <v>0.32346206811391526</v>
      </c>
      <c r="F65" s="27">
        <f t="shared" si="16"/>
        <v>0.32487148459960696</v>
      </c>
      <c r="G65" s="27"/>
      <c r="H65" s="27"/>
      <c r="I65" s="27"/>
      <c r="J65" s="10"/>
      <c r="K65" s="2"/>
    </row>
    <row r="66" spans="1:11">
      <c r="A66" s="12">
        <v>9</v>
      </c>
      <c r="B66" s="2" t="e">
        <f t="shared" ca="1" si="17"/>
        <v>#NAME?</v>
      </c>
      <c r="C66" s="27">
        <f t="shared" si="13"/>
        <v>9.8638367548467679E-2</v>
      </c>
      <c r="D66" s="27">
        <f t="shared" si="14"/>
        <v>0.48894800726456344</v>
      </c>
      <c r="E66" s="27">
        <f t="shared" si="15"/>
        <v>0.35120232341336083</v>
      </c>
      <c r="F66" s="27">
        <f t="shared" si="16"/>
        <v>4.5070072002952211E-2</v>
      </c>
      <c r="G66" s="27"/>
      <c r="H66" s="27"/>
      <c r="I66" s="27"/>
      <c r="J66" s="10"/>
      <c r="K66" s="2"/>
    </row>
    <row r="67" spans="1:11">
      <c r="A67" s="12">
        <v>10</v>
      </c>
      <c r="B67" s="2" t="e">
        <f t="shared" ca="1" si="17"/>
        <v>#NAME?</v>
      </c>
      <c r="C67" s="27">
        <f t="shared" si="13"/>
        <v>0.55338118860529639</v>
      </c>
      <c r="D67" s="27">
        <f t="shared" si="14"/>
        <v>0.32360847909338297</v>
      </c>
      <c r="E67" s="27">
        <f t="shared" si="15"/>
        <v>0.22142663174990096</v>
      </c>
      <c r="F67" s="27">
        <f t="shared" si="16"/>
        <v>0.30592415231327719</v>
      </c>
      <c r="G67" s="27"/>
      <c r="H67" s="27"/>
      <c r="I67" s="27"/>
      <c r="J67" s="10"/>
      <c r="K67" s="2"/>
    </row>
    <row r="68" spans="1:11">
      <c r="A68" s="12">
        <v>11</v>
      </c>
      <c r="B68" s="2" t="e">
        <f t="shared" ca="1" si="17"/>
        <v>#NAME?</v>
      </c>
      <c r="C68" s="27">
        <f t="shared" si="13"/>
        <v>0.46305143606206894</v>
      </c>
      <c r="D68" s="27">
        <f t="shared" si="14"/>
        <v>0.35531182596777416</v>
      </c>
      <c r="E68" s="27">
        <f t="shared" si="15"/>
        <v>0.37079840456903673</v>
      </c>
      <c r="F68" s="27">
        <f t="shared" si="16"/>
        <v>0.29452382791380244</v>
      </c>
      <c r="G68" s="27"/>
      <c r="H68" s="27"/>
      <c r="I68" s="27"/>
      <c r="J68" s="10"/>
      <c r="K68" s="2"/>
    </row>
    <row r="69" spans="1:11">
      <c r="A69" s="12">
        <v>12</v>
      </c>
      <c r="B69" s="2" t="e">
        <f t="shared" ca="1" si="17"/>
        <v>#NAME?</v>
      </c>
      <c r="C69" s="27">
        <f t="shared" si="13"/>
        <v>0.48820353143174083</v>
      </c>
      <c r="D69" s="27">
        <f t="shared" si="14"/>
        <v>0.49407676785531585</v>
      </c>
      <c r="E69" s="27">
        <f t="shared" si="15"/>
        <v>0.36112758364661568</v>
      </c>
      <c r="F69" s="27">
        <f t="shared" si="16"/>
        <v>0.24372956412038821</v>
      </c>
      <c r="G69" s="27"/>
      <c r="H69" s="27"/>
      <c r="I69" s="27"/>
      <c r="J69" s="10"/>
      <c r="K69" s="2"/>
    </row>
    <row r="70" spans="1:11">
      <c r="A70" s="12">
        <v>13</v>
      </c>
      <c r="B70" s="2" t="e">
        <f t="shared" ca="1" si="17"/>
        <v>#NAME?</v>
      </c>
      <c r="C70" s="27">
        <f t="shared" si="13"/>
        <v>0.1994810128430769</v>
      </c>
      <c r="D70" s="27">
        <f t="shared" si="14"/>
        <v>0.1969006963394267</v>
      </c>
      <c r="E70" s="27">
        <f t="shared" si="15"/>
        <v>0.19375871338453363</v>
      </c>
      <c r="F70" s="27">
        <f t="shared" si="16"/>
        <v>0.10714451224221827</v>
      </c>
      <c r="G70" s="27"/>
      <c r="H70" s="27"/>
      <c r="I70" s="27"/>
      <c r="J70" s="10"/>
      <c r="K70" s="2"/>
    </row>
    <row r="71" spans="1:11">
      <c r="A71" s="12">
        <v>14</v>
      </c>
      <c r="B71" s="2" t="e">
        <f t="shared" ca="1" si="17"/>
        <v>#NAME?</v>
      </c>
      <c r="C71" s="27">
        <f t="shared" si="13"/>
        <v>0.36544040756953533</v>
      </c>
      <c r="D71" s="27">
        <f t="shared" si="14"/>
        <v>0.29931115377539697</v>
      </c>
      <c r="E71" s="27">
        <f t="shared" si="15"/>
        <v>0.38492279456562334</v>
      </c>
      <c r="F71" s="27">
        <f t="shared" si="16"/>
        <v>0.29376432120697199</v>
      </c>
      <c r="G71" s="27"/>
      <c r="H71" s="27"/>
      <c r="I71" s="27"/>
      <c r="J71" s="10"/>
      <c r="K71" s="2"/>
    </row>
    <row r="72" spans="1:11">
      <c r="A72" s="12">
        <v>15</v>
      </c>
      <c r="B72" s="2" t="e">
        <f t="shared" ca="1" si="17"/>
        <v>#NAME?</v>
      </c>
      <c r="C72" s="27">
        <f t="shared" si="13"/>
        <v>0.61080753836622326</v>
      </c>
      <c r="D72" s="27">
        <f t="shared" si="14"/>
        <v>0.41562314792850352</v>
      </c>
      <c r="E72" s="27">
        <f t="shared" si="15"/>
        <v>0.38133488287178663</v>
      </c>
      <c r="F72" s="27">
        <f t="shared" si="16"/>
        <v>0.41832942852484062</v>
      </c>
      <c r="G72" s="27"/>
      <c r="H72" s="27"/>
      <c r="I72" s="27"/>
      <c r="J72" s="10"/>
      <c r="K72" s="2"/>
    </row>
    <row r="73" spans="1:11">
      <c r="A73" s="12">
        <v>16</v>
      </c>
      <c r="B73" s="2" t="e">
        <f t="shared" ca="1" si="17"/>
        <v>#NAME?</v>
      </c>
      <c r="C73" s="27">
        <f t="shared" si="13"/>
        <v>0.62469054021910919</v>
      </c>
      <c r="D73" s="27">
        <f t="shared" si="14"/>
        <v>0.41490045191831115</v>
      </c>
      <c r="E73" s="27">
        <f t="shared" si="15"/>
        <v>0.32460858928716213</v>
      </c>
      <c r="F73" s="27">
        <f t="shared" si="16"/>
        <v>0.5563270770577482</v>
      </c>
      <c r="G73" s="27"/>
      <c r="H73" s="27"/>
      <c r="I73" s="27"/>
      <c r="J73" s="10"/>
      <c r="K73" s="2"/>
    </row>
    <row r="74" spans="1:11">
      <c r="A74" s="12">
        <v>17</v>
      </c>
      <c r="B74" s="2" t="e">
        <f t="shared" ca="1" si="17"/>
        <v>#NAME?</v>
      </c>
      <c r="C74" s="27">
        <v>1</v>
      </c>
      <c r="D74" s="27">
        <f t="shared" si="14"/>
        <v>1</v>
      </c>
      <c r="E74" s="27">
        <f t="shared" si="15"/>
        <v>0.71960631960631949</v>
      </c>
      <c r="F74" s="27">
        <f t="shared" si="16"/>
        <v>0.96923783287419651</v>
      </c>
      <c r="G74" s="27"/>
      <c r="H74" s="27"/>
      <c r="I74" s="27"/>
      <c r="J74" s="10"/>
      <c r="K74" s="2"/>
    </row>
    <row r="75" spans="1:11">
      <c r="A75" s="12">
        <v>18</v>
      </c>
      <c r="B75" s="2" t="e">
        <f t="shared" ca="1" si="17"/>
        <v>#NAME?</v>
      </c>
      <c r="C75" s="27">
        <f t="shared" si="13"/>
        <v>0.89155476989149052</v>
      </c>
      <c r="D75" s="27">
        <f t="shared" si="14"/>
        <v>0.58647330179646773</v>
      </c>
      <c r="E75" s="27">
        <f t="shared" si="15"/>
        <v>0.40297909319453717</v>
      </c>
      <c r="F75" s="27">
        <f t="shared" si="16"/>
        <v>0.68079606601271836</v>
      </c>
      <c r="G75" s="27"/>
      <c r="H75" s="27"/>
      <c r="I75" s="27"/>
      <c r="J75" s="10"/>
      <c r="K75" s="2"/>
    </row>
    <row r="76" spans="1:11">
      <c r="A76" s="12">
        <v>19</v>
      </c>
      <c r="B76" s="2" t="e">
        <f t="shared" ca="1" si="17"/>
        <v>#NAME?</v>
      </c>
      <c r="C76" s="27">
        <v>1</v>
      </c>
      <c r="D76" s="27">
        <f t="shared" si="14"/>
        <v>0.57045404344369177</v>
      </c>
      <c r="E76" s="27">
        <f t="shared" si="15"/>
        <v>0.38600070132713354</v>
      </c>
      <c r="F76" s="27">
        <f t="shared" si="16"/>
        <v>0.32818842631926742</v>
      </c>
      <c r="G76" s="27"/>
      <c r="H76" s="27"/>
      <c r="I76" s="27"/>
      <c r="J76" s="10"/>
      <c r="K76" s="2"/>
    </row>
    <row r="77" spans="1:11">
      <c r="A77" s="12">
        <v>20</v>
      </c>
      <c r="B77" s="2" t="e">
        <f t="shared" ca="1" si="17"/>
        <v>#NAME?</v>
      </c>
      <c r="C77" s="27">
        <f t="shared" si="13"/>
        <v>0.61145419068249052</v>
      </c>
      <c r="D77" s="27">
        <f t="shared" si="14"/>
        <v>0.3979928319150573</v>
      </c>
      <c r="E77" s="27">
        <f t="shared" si="15"/>
        <v>0.26762847690996044</v>
      </c>
      <c r="F77" s="27">
        <f t="shared" si="16"/>
        <v>0.28343245539507217</v>
      </c>
      <c r="G77" s="27"/>
      <c r="H77" s="27"/>
      <c r="I77" s="27"/>
      <c r="J77" s="10"/>
      <c r="K77" s="2"/>
    </row>
    <row r="78" spans="1:11">
      <c r="C78" s="28"/>
      <c r="D78" s="28"/>
      <c r="E78" s="28"/>
      <c r="F78" s="28"/>
      <c r="G78" s="28"/>
      <c r="H78" s="28"/>
      <c r="I78" s="28"/>
      <c r="J78" s="10"/>
    </row>
    <row r="79" spans="1:11">
      <c r="C79" s="28">
        <f>MAX(C58:C77)</f>
        <v>1</v>
      </c>
      <c r="D79" s="28"/>
      <c r="E79" s="28"/>
      <c r="F79" s="28"/>
    </row>
    <row r="80" spans="1:11">
      <c r="A80" s="3" t="s">
        <v>45</v>
      </c>
      <c r="B80" s="3">
        <v>80.702982390000003</v>
      </c>
      <c r="C80" s="3">
        <v>35.554000000000002</v>
      </c>
    </row>
  </sheetData>
  <mergeCells count="1">
    <mergeCell ref="A56:L56"/>
  </mergeCells>
  <phoneticPr fontId="8" type="noConversion"/>
  <pageMargins left="0.75" right="0.75" top="1" bottom="1" header="0.5" footer="0.5"/>
  <pageSetup orientation="portrait" horizontalDpi="4294967292" verticalDpi="4294967292" r:id="rId1"/>
  <ignoredErrors>
    <ignoredError sqref="E20" formula="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O30"/>
  <sheetViews>
    <sheetView topLeftCell="FE1" zoomScale="57" workbookViewId="0">
      <selection activeCell="FF17" sqref="FF17"/>
    </sheetView>
  </sheetViews>
  <sheetFormatPr defaultRowHeight="15.6"/>
  <cols>
    <col min="1" max="1" width="9" customWidth="1"/>
  </cols>
  <sheetData>
    <row r="1" spans="1:301">
      <c r="A1" s="11" t="s">
        <v>18</v>
      </c>
    </row>
    <row r="2" spans="1:301">
      <c r="A2" t="s">
        <v>19</v>
      </c>
    </row>
    <row r="3" spans="1:301">
      <c r="A3" s="11" t="s">
        <v>23</v>
      </c>
    </row>
    <row r="4" spans="1:301">
      <c r="A4" s="11" t="s">
        <v>24</v>
      </c>
    </row>
    <row r="5" spans="1:301">
      <c r="A5" s="11" t="s">
        <v>25</v>
      </c>
    </row>
    <row r="7" spans="1:301">
      <c r="A7" s="22" t="s">
        <v>20</v>
      </c>
      <c r="B7" s="22">
        <v>1992</v>
      </c>
      <c r="C7" s="22">
        <v>1992</v>
      </c>
      <c r="D7" s="22">
        <v>1992</v>
      </c>
      <c r="E7" s="22">
        <v>1992</v>
      </c>
      <c r="F7" s="22">
        <v>1992</v>
      </c>
      <c r="G7" s="22">
        <v>1992</v>
      </c>
      <c r="H7" s="22">
        <v>1992</v>
      </c>
      <c r="I7" s="22">
        <v>1992</v>
      </c>
      <c r="J7" s="22">
        <v>1992</v>
      </c>
      <c r="K7" s="22">
        <v>1992</v>
      </c>
      <c r="L7" s="22">
        <v>1992</v>
      </c>
      <c r="M7" s="22">
        <v>1992</v>
      </c>
      <c r="N7" s="22">
        <v>1993</v>
      </c>
      <c r="O7" s="22">
        <v>1993</v>
      </c>
      <c r="P7" s="22">
        <v>1993</v>
      </c>
      <c r="Q7" s="22">
        <v>1993</v>
      </c>
      <c r="R7" s="22">
        <v>1993</v>
      </c>
      <c r="S7" s="22">
        <v>1993</v>
      </c>
      <c r="T7" s="22">
        <v>1993</v>
      </c>
      <c r="U7" s="22">
        <v>1993</v>
      </c>
      <c r="V7" s="22">
        <v>1993</v>
      </c>
      <c r="W7" s="22">
        <v>1993</v>
      </c>
      <c r="X7" s="22">
        <v>1993</v>
      </c>
      <c r="Y7" s="22">
        <v>1993</v>
      </c>
      <c r="Z7" s="22">
        <v>1994</v>
      </c>
      <c r="AA7" s="22">
        <v>1994</v>
      </c>
      <c r="AB7" s="22">
        <v>1994</v>
      </c>
      <c r="AC7" s="22">
        <v>1994</v>
      </c>
      <c r="AD7" s="22">
        <v>1994</v>
      </c>
      <c r="AE7" s="22">
        <v>1994</v>
      </c>
      <c r="AF7" s="22">
        <v>1994</v>
      </c>
      <c r="AG7" s="22">
        <v>1994</v>
      </c>
      <c r="AH7" s="22">
        <v>1994</v>
      </c>
      <c r="AI7" s="22">
        <v>1994</v>
      </c>
      <c r="AJ7" s="22">
        <v>1994</v>
      </c>
      <c r="AK7" s="22">
        <v>1994</v>
      </c>
      <c r="AL7" s="22">
        <v>1995</v>
      </c>
      <c r="AM7" s="22">
        <v>1995</v>
      </c>
      <c r="AN7" s="22">
        <v>1995</v>
      </c>
      <c r="AO7" s="22">
        <v>1995</v>
      </c>
      <c r="AP7" s="22">
        <v>1995</v>
      </c>
      <c r="AQ7" s="22">
        <v>1995</v>
      </c>
      <c r="AR7" s="22">
        <v>1995</v>
      </c>
      <c r="AS7" s="22">
        <v>1995</v>
      </c>
      <c r="AT7" s="22">
        <v>1995</v>
      </c>
      <c r="AU7" s="22">
        <v>1995</v>
      </c>
      <c r="AV7" s="22">
        <v>1995</v>
      </c>
      <c r="AW7" s="22">
        <v>1995</v>
      </c>
      <c r="AX7" s="22">
        <v>1996</v>
      </c>
      <c r="AY7" s="22">
        <v>1996</v>
      </c>
      <c r="AZ7" s="22">
        <v>1996</v>
      </c>
      <c r="BA7" s="22">
        <v>1996</v>
      </c>
      <c r="BB7" s="22">
        <v>1996</v>
      </c>
      <c r="BC7" s="22">
        <v>1996</v>
      </c>
      <c r="BD7" s="22">
        <v>1996</v>
      </c>
      <c r="BE7" s="22">
        <v>1996</v>
      </c>
      <c r="BF7" s="22">
        <v>1996</v>
      </c>
      <c r="BG7" s="22">
        <v>1996</v>
      </c>
      <c r="BH7" s="22">
        <v>1996</v>
      </c>
      <c r="BI7" s="22">
        <v>1996</v>
      </c>
      <c r="BJ7" s="22">
        <v>1997</v>
      </c>
      <c r="BK7" s="22">
        <v>1997</v>
      </c>
      <c r="BL7" s="22">
        <v>1997</v>
      </c>
      <c r="BM7" s="22">
        <v>1997</v>
      </c>
      <c r="BN7" s="22">
        <v>1997</v>
      </c>
      <c r="BO7" s="22">
        <v>1997</v>
      </c>
      <c r="BP7" s="22">
        <v>1997</v>
      </c>
      <c r="BQ7" s="22">
        <v>1997</v>
      </c>
      <c r="BR7" s="22">
        <v>1997</v>
      </c>
      <c r="BS7" s="22">
        <v>1997</v>
      </c>
      <c r="BT7" s="22">
        <v>1997</v>
      </c>
      <c r="BU7" s="22">
        <v>1997</v>
      </c>
      <c r="BV7" s="22">
        <v>1998</v>
      </c>
      <c r="BW7" s="22">
        <v>1998</v>
      </c>
      <c r="BX7" s="22">
        <v>1998</v>
      </c>
      <c r="BY7" s="22">
        <v>1998</v>
      </c>
      <c r="BZ7" s="22">
        <v>1998</v>
      </c>
      <c r="CA7" s="22">
        <v>1998</v>
      </c>
      <c r="CB7" s="22">
        <v>1998</v>
      </c>
      <c r="CC7" s="22">
        <v>1998</v>
      </c>
      <c r="CD7" s="22">
        <v>1998</v>
      </c>
      <c r="CE7" s="22">
        <v>1998</v>
      </c>
      <c r="CF7" s="22">
        <v>1998</v>
      </c>
      <c r="CG7" s="22">
        <v>1998</v>
      </c>
      <c r="CH7" s="22">
        <v>1999</v>
      </c>
      <c r="CI7" s="22">
        <v>1999</v>
      </c>
      <c r="CJ7" s="22">
        <v>1999</v>
      </c>
      <c r="CK7" s="22">
        <v>1999</v>
      </c>
      <c r="CL7" s="22">
        <v>1999</v>
      </c>
      <c r="CM7" s="22">
        <v>1999</v>
      </c>
      <c r="CN7" s="22">
        <v>1999</v>
      </c>
      <c r="CO7" s="22">
        <v>1999</v>
      </c>
      <c r="CP7" s="22">
        <v>1999</v>
      </c>
      <c r="CQ7" s="22">
        <v>1999</v>
      </c>
      <c r="CR7" s="22">
        <v>1999</v>
      </c>
      <c r="CS7" s="22">
        <v>1999</v>
      </c>
      <c r="CT7" s="22">
        <v>2000</v>
      </c>
      <c r="CU7" s="22">
        <v>2000</v>
      </c>
      <c r="CV7" s="22">
        <v>2000</v>
      </c>
      <c r="CW7" s="22">
        <v>2000</v>
      </c>
      <c r="CX7" s="22">
        <v>2000</v>
      </c>
      <c r="CY7" s="22">
        <v>2000</v>
      </c>
      <c r="CZ7" s="22">
        <v>2000</v>
      </c>
      <c r="DA7" s="22">
        <v>2000</v>
      </c>
      <c r="DB7" s="22">
        <v>2000</v>
      </c>
      <c r="DC7" s="22">
        <v>2000</v>
      </c>
      <c r="DD7" s="22">
        <v>2000</v>
      </c>
      <c r="DE7" s="22">
        <v>2000</v>
      </c>
      <c r="DF7" s="22">
        <v>2001</v>
      </c>
      <c r="DG7" s="22">
        <v>2001</v>
      </c>
      <c r="DH7" s="22">
        <v>2001</v>
      </c>
      <c r="DI7" s="22">
        <v>2001</v>
      </c>
      <c r="DJ7" s="22">
        <v>2001</v>
      </c>
      <c r="DK7" s="22">
        <v>2001</v>
      </c>
      <c r="DL7" s="22">
        <v>2001</v>
      </c>
      <c r="DM7" s="22">
        <v>2001</v>
      </c>
      <c r="DN7" s="22">
        <v>2001</v>
      </c>
      <c r="DO7" s="22">
        <v>2001</v>
      </c>
      <c r="DP7" s="22">
        <v>2001</v>
      </c>
      <c r="DQ7" s="22">
        <v>2001</v>
      </c>
      <c r="DR7" s="22">
        <v>2002</v>
      </c>
      <c r="DS7" s="22">
        <v>2002</v>
      </c>
      <c r="DT7" s="22">
        <v>2002</v>
      </c>
      <c r="DU7" s="22">
        <v>2002</v>
      </c>
      <c r="DV7" s="22">
        <v>2002</v>
      </c>
      <c r="DW7" s="22">
        <v>2002</v>
      </c>
      <c r="DX7" s="22">
        <v>2002</v>
      </c>
      <c r="DY7" s="22">
        <v>2002</v>
      </c>
      <c r="DZ7" s="22">
        <v>2002</v>
      </c>
      <c r="EA7" s="22">
        <v>2002</v>
      </c>
      <c r="EB7" s="22">
        <v>2002</v>
      </c>
      <c r="EC7" s="22">
        <v>2002</v>
      </c>
      <c r="ED7" s="22">
        <v>2003</v>
      </c>
      <c r="EE7" s="22">
        <v>2003</v>
      </c>
      <c r="EF7" s="22">
        <v>2003</v>
      </c>
      <c r="EG7" s="22">
        <v>2003</v>
      </c>
      <c r="EH7" s="22">
        <v>2003</v>
      </c>
      <c r="EI7" s="22">
        <v>2003</v>
      </c>
      <c r="EJ7" s="22">
        <v>2003</v>
      </c>
      <c r="EK7" s="22">
        <v>2003</v>
      </c>
      <c r="EL7" s="22">
        <v>2003</v>
      </c>
      <c r="EM7" s="22">
        <v>2003</v>
      </c>
      <c r="EN7" s="22">
        <v>2003</v>
      </c>
      <c r="EO7" s="22">
        <v>2003</v>
      </c>
      <c r="EP7" s="22">
        <v>2004</v>
      </c>
      <c r="EQ7" s="22">
        <v>2004</v>
      </c>
      <c r="ER7" s="22">
        <v>2004</v>
      </c>
      <c r="ES7" s="22">
        <v>2004</v>
      </c>
      <c r="ET7" s="22">
        <v>2004</v>
      </c>
      <c r="EU7" s="22">
        <v>2004</v>
      </c>
      <c r="EV7" s="22">
        <v>2004</v>
      </c>
      <c r="EW7" s="22">
        <v>2004</v>
      </c>
      <c r="EX7" s="22">
        <v>2004</v>
      </c>
      <c r="EY7" s="22">
        <v>2004</v>
      </c>
      <c r="EZ7" s="22">
        <v>2004</v>
      </c>
      <c r="FA7" s="22">
        <v>2004</v>
      </c>
      <c r="FB7" s="22">
        <v>2005</v>
      </c>
      <c r="FC7" s="22">
        <v>2005</v>
      </c>
      <c r="FD7" s="22">
        <v>2005</v>
      </c>
      <c r="FE7" s="22">
        <v>2005</v>
      </c>
      <c r="FF7" s="22">
        <v>2005</v>
      </c>
      <c r="FG7" s="22">
        <v>2005</v>
      </c>
      <c r="FH7" s="22">
        <v>2005</v>
      </c>
      <c r="FI7" s="22">
        <v>2005</v>
      </c>
      <c r="FJ7" s="22">
        <v>2005</v>
      </c>
      <c r="FK7" s="22">
        <v>2005</v>
      </c>
      <c r="FL7" s="22">
        <v>2005</v>
      </c>
      <c r="FM7" s="22">
        <v>2005</v>
      </c>
      <c r="FN7" s="22">
        <v>2006</v>
      </c>
      <c r="FO7" s="22">
        <v>2006</v>
      </c>
      <c r="FP7" s="22">
        <v>2006</v>
      </c>
      <c r="FQ7" s="22">
        <v>2006</v>
      </c>
      <c r="FR7" s="22">
        <v>2006</v>
      </c>
      <c r="FS7" s="22">
        <v>2006</v>
      </c>
      <c r="FT7" s="22">
        <v>2006</v>
      </c>
      <c r="FU7" s="22">
        <v>2006</v>
      </c>
      <c r="FV7" s="22">
        <v>2006</v>
      </c>
      <c r="FW7" s="22">
        <v>2006</v>
      </c>
      <c r="FX7" s="22">
        <v>2006</v>
      </c>
      <c r="FY7" s="22">
        <v>2006</v>
      </c>
      <c r="FZ7" s="22">
        <v>2007</v>
      </c>
      <c r="GA7" s="22">
        <v>2007</v>
      </c>
      <c r="GB7" s="22">
        <v>2007</v>
      </c>
      <c r="GC7" s="22">
        <v>2007</v>
      </c>
      <c r="GD7" s="22">
        <v>2007</v>
      </c>
      <c r="GE7" s="22">
        <v>2007</v>
      </c>
      <c r="GF7" s="22">
        <v>2007</v>
      </c>
      <c r="GG7" s="22">
        <v>2007</v>
      </c>
      <c r="GH7" s="22">
        <v>2007</v>
      </c>
      <c r="GI7" s="22">
        <v>2007</v>
      </c>
      <c r="GJ7" s="22">
        <v>2007</v>
      </c>
      <c r="GK7" s="22">
        <v>2007</v>
      </c>
      <c r="GL7" s="22">
        <v>2008</v>
      </c>
      <c r="GM7" s="22">
        <v>2008</v>
      </c>
      <c r="GN7" s="22">
        <v>2008</v>
      </c>
      <c r="GO7" s="22">
        <v>2008</v>
      </c>
      <c r="GP7" s="22">
        <v>2008</v>
      </c>
      <c r="GQ7" s="22">
        <v>2008</v>
      </c>
      <c r="GR7" s="22">
        <v>2008</v>
      </c>
      <c r="GS7" s="22">
        <v>2008</v>
      </c>
      <c r="GT7" s="22">
        <v>2008</v>
      </c>
      <c r="GU7" s="22">
        <v>2008</v>
      </c>
      <c r="GV7" s="22">
        <v>2008</v>
      </c>
      <c r="GW7" s="22">
        <v>2008</v>
      </c>
      <c r="GX7" s="22">
        <v>2009</v>
      </c>
      <c r="GY7" s="22">
        <v>2009</v>
      </c>
      <c r="GZ7" s="22">
        <v>2009</v>
      </c>
      <c r="HA7" s="22">
        <v>2009</v>
      </c>
      <c r="HB7" s="22">
        <v>2009</v>
      </c>
      <c r="HC7" s="22">
        <v>2009</v>
      </c>
      <c r="HD7" s="22">
        <v>2009</v>
      </c>
      <c r="HE7" s="22">
        <v>2009</v>
      </c>
      <c r="HF7" s="22">
        <v>2009</v>
      </c>
      <c r="HG7" s="22">
        <v>2009</v>
      </c>
      <c r="HH7" s="22">
        <v>2009</v>
      </c>
      <c r="HI7" s="22">
        <v>2009</v>
      </c>
      <c r="HJ7" s="22">
        <v>2010</v>
      </c>
      <c r="HK7" s="22">
        <v>2010</v>
      </c>
      <c r="HL7" s="22">
        <v>2010</v>
      </c>
      <c r="HM7" s="22">
        <v>2010</v>
      </c>
      <c r="HN7" s="22">
        <v>2010</v>
      </c>
      <c r="HO7" s="22">
        <v>2010</v>
      </c>
      <c r="HP7" s="22">
        <v>2010</v>
      </c>
      <c r="HQ7" s="22">
        <v>2010</v>
      </c>
      <c r="HR7" s="22">
        <v>2010</v>
      </c>
      <c r="HS7" s="22">
        <v>2010</v>
      </c>
      <c r="HT7" s="22">
        <v>2010</v>
      </c>
      <c r="HU7" s="22">
        <v>2010</v>
      </c>
      <c r="HV7" s="22">
        <v>2011</v>
      </c>
      <c r="HW7" s="22">
        <v>2011</v>
      </c>
      <c r="HX7" s="22">
        <v>2011</v>
      </c>
      <c r="HY7" s="22">
        <v>2011</v>
      </c>
      <c r="HZ7" s="22">
        <v>2011</v>
      </c>
      <c r="IA7" s="22">
        <v>2011</v>
      </c>
      <c r="IB7" s="22">
        <v>2011</v>
      </c>
      <c r="IC7" s="22">
        <v>2011</v>
      </c>
      <c r="ID7" s="22">
        <v>2011</v>
      </c>
      <c r="IE7" s="22">
        <v>2011</v>
      </c>
      <c r="IF7" s="22">
        <v>2011</v>
      </c>
      <c r="IG7" s="22">
        <v>2011</v>
      </c>
      <c r="IH7" s="22">
        <v>2012</v>
      </c>
      <c r="II7" s="22">
        <v>2012</v>
      </c>
      <c r="IJ7" s="22">
        <v>2012</v>
      </c>
      <c r="IK7" s="22">
        <v>2012</v>
      </c>
      <c r="IL7" s="22">
        <v>2012</v>
      </c>
      <c r="IM7" s="22">
        <v>2012</v>
      </c>
      <c r="IN7" s="22">
        <v>2012</v>
      </c>
      <c r="IO7" s="22">
        <v>2012</v>
      </c>
      <c r="IP7" s="22">
        <v>2012</v>
      </c>
      <c r="IQ7" s="22">
        <v>2012</v>
      </c>
      <c r="IR7" s="22">
        <v>2012</v>
      </c>
      <c r="IS7" s="22">
        <v>2012</v>
      </c>
      <c r="IT7" s="22">
        <v>2013</v>
      </c>
      <c r="IU7" s="22">
        <v>2013</v>
      </c>
      <c r="IV7" s="22">
        <v>2013</v>
      </c>
      <c r="IW7" s="22">
        <v>2013</v>
      </c>
      <c r="IX7" s="22">
        <v>2013</v>
      </c>
      <c r="IY7" s="22">
        <v>2013</v>
      </c>
      <c r="IZ7" s="22">
        <v>2013</v>
      </c>
      <c r="JA7" s="22">
        <v>2013</v>
      </c>
      <c r="JB7" s="22">
        <v>2013</v>
      </c>
      <c r="JC7" s="22">
        <v>2013</v>
      </c>
      <c r="JD7" s="22">
        <v>2013</v>
      </c>
      <c r="JE7" s="22">
        <v>2013</v>
      </c>
      <c r="JF7" s="22">
        <v>2014</v>
      </c>
      <c r="JG7" s="22">
        <v>2014</v>
      </c>
      <c r="JH7" s="22">
        <v>2014</v>
      </c>
      <c r="JI7" s="22">
        <v>2014</v>
      </c>
      <c r="JJ7" s="22">
        <v>2014</v>
      </c>
      <c r="JK7" s="22">
        <v>2014</v>
      </c>
      <c r="JL7" s="22">
        <v>2014</v>
      </c>
      <c r="JM7" s="22">
        <v>2014</v>
      </c>
      <c r="JN7" s="22">
        <v>2014</v>
      </c>
      <c r="JO7" s="22">
        <v>2014</v>
      </c>
      <c r="JP7" s="22">
        <v>2014</v>
      </c>
      <c r="JQ7" s="22">
        <v>2014</v>
      </c>
      <c r="JR7" s="22">
        <v>2015</v>
      </c>
      <c r="JS7" s="22">
        <v>2015</v>
      </c>
      <c r="JT7" s="22">
        <v>2015</v>
      </c>
      <c r="JU7" s="22">
        <v>2015</v>
      </c>
      <c r="JV7" s="22">
        <v>2015</v>
      </c>
      <c r="JW7" s="22">
        <v>2015</v>
      </c>
      <c r="JX7" s="22">
        <v>2015</v>
      </c>
      <c r="JY7" s="22">
        <v>2015</v>
      </c>
      <c r="JZ7" s="22">
        <v>2015</v>
      </c>
      <c r="KA7" s="22">
        <v>2015</v>
      </c>
      <c r="KB7" s="22">
        <v>2015</v>
      </c>
      <c r="KC7" s="22">
        <v>2015</v>
      </c>
      <c r="KD7" s="22">
        <v>2016</v>
      </c>
      <c r="KE7" s="22">
        <v>2016</v>
      </c>
      <c r="KF7" s="22">
        <v>2016</v>
      </c>
      <c r="KG7" s="22">
        <v>2016</v>
      </c>
      <c r="KH7" s="22">
        <v>2016</v>
      </c>
      <c r="KI7" s="22">
        <v>2016</v>
      </c>
      <c r="KJ7" s="22">
        <v>2016</v>
      </c>
      <c r="KK7" s="22">
        <v>2016</v>
      </c>
      <c r="KL7" s="22">
        <v>2016</v>
      </c>
      <c r="KM7" s="22">
        <v>2016</v>
      </c>
      <c r="KN7" s="22">
        <v>2016</v>
      </c>
      <c r="KO7" s="22">
        <v>2016</v>
      </c>
    </row>
    <row r="8" spans="1:301">
      <c r="A8" s="22" t="s">
        <v>21</v>
      </c>
      <c r="B8" s="22">
        <v>1</v>
      </c>
      <c r="C8" s="22">
        <v>2</v>
      </c>
      <c r="D8" s="22">
        <v>3</v>
      </c>
      <c r="E8" s="22">
        <v>4</v>
      </c>
      <c r="F8" s="22">
        <v>5</v>
      </c>
      <c r="G8" s="22">
        <v>6</v>
      </c>
      <c r="H8" s="22">
        <v>7</v>
      </c>
      <c r="I8" s="22">
        <v>8</v>
      </c>
      <c r="J8" s="22">
        <v>9</v>
      </c>
      <c r="K8" s="22">
        <v>10</v>
      </c>
      <c r="L8" s="22">
        <v>11</v>
      </c>
      <c r="M8" s="22">
        <v>12</v>
      </c>
      <c r="N8" s="22">
        <v>1</v>
      </c>
      <c r="O8" s="22">
        <v>2</v>
      </c>
      <c r="P8" s="22">
        <v>3</v>
      </c>
      <c r="Q8" s="22">
        <v>4</v>
      </c>
      <c r="R8" s="22">
        <v>5</v>
      </c>
      <c r="S8" s="22">
        <v>6</v>
      </c>
      <c r="T8" s="22">
        <v>7</v>
      </c>
      <c r="U8" s="22">
        <v>8</v>
      </c>
      <c r="V8" s="22">
        <v>9</v>
      </c>
      <c r="W8" s="22">
        <v>10</v>
      </c>
      <c r="X8" s="22">
        <v>11</v>
      </c>
      <c r="Y8" s="22">
        <v>12</v>
      </c>
      <c r="Z8" s="22">
        <v>1</v>
      </c>
      <c r="AA8" s="22">
        <v>2</v>
      </c>
      <c r="AB8" s="22">
        <v>3</v>
      </c>
      <c r="AC8" s="22">
        <v>4</v>
      </c>
      <c r="AD8" s="22">
        <v>5</v>
      </c>
      <c r="AE8" s="22">
        <v>6</v>
      </c>
      <c r="AF8" s="22">
        <v>7</v>
      </c>
      <c r="AG8" s="22">
        <v>8</v>
      </c>
      <c r="AH8" s="22">
        <v>9</v>
      </c>
      <c r="AI8" s="22">
        <v>10</v>
      </c>
      <c r="AJ8" s="22">
        <v>11</v>
      </c>
      <c r="AK8" s="22">
        <v>12</v>
      </c>
      <c r="AL8" s="22">
        <v>1</v>
      </c>
      <c r="AM8" s="22">
        <v>2</v>
      </c>
      <c r="AN8" s="22">
        <v>3</v>
      </c>
      <c r="AO8" s="22">
        <v>4</v>
      </c>
      <c r="AP8" s="22">
        <v>5</v>
      </c>
      <c r="AQ8" s="22">
        <v>6</v>
      </c>
      <c r="AR8" s="22">
        <v>7</v>
      </c>
      <c r="AS8" s="22">
        <v>8</v>
      </c>
      <c r="AT8" s="22">
        <v>9</v>
      </c>
      <c r="AU8" s="22">
        <v>10</v>
      </c>
      <c r="AV8" s="22">
        <v>11</v>
      </c>
      <c r="AW8" s="22">
        <v>12</v>
      </c>
      <c r="AX8" s="22">
        <v>1</v>
      </c>
      <c r="AY8" s="22">
        <v>2</v>
      </c>
      <c r="AZ8" s="22">
        <v>3</v>
      </c>
      <c r="BA8" s="22">
        <v>4</v>
      </c>
      <c r="BB8" s="22">
        <v>5</v>
      </c>
      <c r="BC8" s="22">
        <v>6</v>
      </c>
      <c r="BD8" s="22">
        <v>7</v>
      </c>
      <c r="BE8" s="22">
        <v>8</v>
      </c>
      <c r="BF8" s="22">
        <v>9</v>
      </c>
      <c r="BG8" s="22">
        <v>10</v>
      </c>
      <c r="BH8" s="22">
        <v>11</v>
      </c>
      <c r="BI8" s="22">
        <v>12</v>
      </c>
      <c r="BJ8" s="22">
        <v>1</v>
      </c>
      <c r="BK8" s="22">
        <v>2</v>
      </c>
      <c r="BL8" s="22">
        <v>3</v>
      </c>
      <c r="BM8" s="22">
        <v>4</v>
      </c>
      <c r="BN8" s="22">
        <v>5</v>
      </c>
      <c r="BO8" s="22">
        <v>6</v>
      </c>
      <c r="BP8" s="22">
        <v>7</v>
      </c>
      <c r="BQ8" s="22">
        <v>8</v>
      </c>
      <c r="BR8" s="22">
        <v>9</v>
      </c>
      <c r="BS8" s="22">
        <v>10</v>
      </c>
      <c r="BT8" s="22">
        <v>11</v>
      </c>
      <c r="BU8" s="22">
        <v>12</v>
      </c>
      <c r="BV8" s="22">
        <v>1</v>
      </c>
      <c r="BW8" s="22">
        <v>2</v>
      </c>
      <c r="BX8" s="22">
        <v>3</v>
      </c>
      <c r="BY8" s="22">
        <v>4</v>
      </c>
      <c r="BZ8" s="22">
        <v>5</v>
      </c>
      <c r="CA8" s="22">
        <v>6</v>
      </c>
      <c r="CB8" s="22">
        <v>7</v>
      </c>
      <c r="CC8" s="22">
        <v>8</v>
      </c>
      <c r="CD8" s="22">
        <v>9</v>
      </c>
      <c r="CE8" s="22">
        <v>10</v>
      </c>
      <c r="CF8" s="22">
        <v>11</v>
      </c>
      <c r="CG8" s="22">
        <v>12</v>
      </c>
      <c r="CH8" s="22">
        <v>1</v>
      </c>
      <c r="CI8" s="22">
        <v>2</v>
      </c>
      <c r="CJ8" s="22">
        <v>3</v>
      </c>
      <c r="CK8" s="22">
        <v>4</v>
      </c>
      <c r="CL8" s="22">
        <v>5</v>
      </c>
      <c r="CM8" s="22">
        <v>6</v>
      </c>
      <c r="CN8" s="22">
        <v>7</v>
      </c>
      <c r="CO8" s="22">
        <v>8</v>
      </c>
      <c r="CP8" s="22">
        <v>9</v>
      </c>
      <c r="CQ8" s="22">
        <v>10</v>
      </c>
      <c r="CR8" s="22">
        <v>11</v>
      </c>
      <c r="CS8" s="22">
        <v>12</v>
      </c>
      <c r="CT8" s="22">
        <v>1</v>
      </c>
      <c r="CU8" s="22">
        <v>2</v>
      </c>
      <c r="CV8" s="22">
        <v>3</v>
      </c>
      <c r="CW8" s="22">
        <v>4</v>
      </c>
      <c r="CX8" s="22">
        <v>5</v>
      </c>
      <c r="CY8" s="22">
        <v>6</v>
      </c>
      <c r="CZ8" s="22">
        <v>7</v>
      </c>
      <c r="DA8" s="22">
        <v>8</v>
      </c>
      <c r="DB8" s="22">
        <v>9</v>
      </c>
      <c r="DC8" s="22">
        <v>10</v>
      </c>
      <c r="DD8" s="22">
        <v>11</v>
      </c>
      <c r="DE8" s="22">
        <v>12</v>
      </c>
      <c r="DF8" s="22">
        <v>1</v>
      </c>
      <c r="DG8" s="22">
        <v>2</v>
      </c>
      <c r="DH8" s="22">
        <v>3</v>
      </c>
      <c r="DI8" s="22">
        <v>4</v>
      </c>
      <c r="DJ8" s="22">
        <v>5</v>
      </c>
      <c r="DK8" s="22">
        <v>6</v>
      </c>
      <c r="DL8" s="22">
        <v>7</v>
      </c>
      <c r="DM8" s="22">
        <v>8</v>
      </c>
      <c r="DN8" s="22">
        <v>9</v>
      </c>
      <c r="DO8" s="22">
        <v>10</v>
      </c>
      <c r="DP8" s="22">
        <v>11</v>
      </c>
      <c r="DQ8" s="22">
        <v>12</v>
      </c>
      <c r="DR8" s="22">
        <v>1</v>
      </c>
      <c r="DS8" s="22">
        <v>2</v>
      </c>
      <c r="DT8" s="22">
        <v>3</v>
      </c>
      <c r="DU8" s="22">
        <v>4</v>
      </c>
      <c r="DV8" s="22">
        <v>5</v>
      </c>
      <c r="DW8" s="22">
        <v>6</v>
      </c>
      <c r="DX8" s="22">
        <v>7</v>
      </c>
      <c r="DY8" s="22">
        <v>8</v>
      </c>
      <c r="DZ8" s="22">
        <v>9</v>
      </c>
      <c r="EA8" s="22">
        <v>10</v>
      </c>
      <c r="EB8" s="22">
        <v>11</v>
      </c>
      <c r="EC8" s="22">
        <v>12</v>
      </c>
      <c r="ED8" s="22">
        <v>1</v>
      </c>
      <c r="EE8" s="22">
        <v>2</v>
      </c>
      <c r="EF8" s="22">
        <v>3</v>
      </c>
      <c r="EG8" s="22">
        <v>4</v>
      </c>
      <c r="EH8" s="22">
        <v>5</v>
      </c>
      <c r="EI8" s="22">
        <v>6</v>
      </c>
      <c r="EJ8" s="22">
        <v>7</v>
      </c>
      <c r="EK8" s="22">
        <v>8</v>
      </c>
      <c r="EL8" s="22">
        <v>9</v>
      </c>
      <c r="EM8" s="22">
        <v>10</v>
      </c>
      <c r="EN8" s="22">
        <v>11</v>
      </c>
      <c r="EO8" s="22">
        <v>12</v>
      </c>
      <c r="EP8" s="22">
        <v>1</v>
      </c>
      <c r="EQ8" s="22">
        <v>2</v>
      </c>
      <c r="ER8" s="22">
        <v>3</v>
      </c>
      <c r="ES8" s="22">
        <v>4</v>
      </c>
      <c r="ET8" s="22">
        <v>5</v>
      </c>
      <c r="EU8" s="22">
        <v>6</v>
      </c>
      <c r="EV8" s="22">
        <v>7</v>
      </c>
      <c r="EW8" s="22">
        <v>8</v>
      </c>
      <c r="EX8" s="22">
        <v>9</v>
      </c>
      <c r="EY8" s="22">
        <v>10</v>
      </c>
      <c r="EZ8" s="22">
        <v>11</v>
      </c>
      <c r="FA8" s="22">
        <v>12</v>
      </c>
      <c r="FB8" s="22">
        <v>1</v>
      </c>
      <c r="FC8" s="22">
        <v>2</v>
      </c>
      <c r="FD8" s="22">
        <v>3</v>
      </c>
      <c r="FE8" s="22">
        <v>4</v>
      </c>
      <c r="FF8" s="22">
        <v>5</v>
      </c>
      <c r="FG8" s="22">
        <v>6</v>
      </c>
      <c r="FH8" s="22">
        <v>7</v>
      </c>
      <c r="FI8" s="22">
        <v>8</v>
      </c>
      <c r="FJ8" s="22">
        <v>9</v>
      </c>
      <c r="FK8" s="22">
        <v>10</v>
      </c>
      <c r="FL8" s="22">
        <v>11</v>
      </c>
      <c r="FM8" s="22">
        <v>12</v>
      </c>
      <c r="FN8" s="22">
        <v>1</v>
      </c>
      <c r="FO8" s="22">
        <v>2</v>
      </c>
      <c r="FP8" s="22">
        <v>3</v>
      </c>
      <c r="FQ8" s="22">
        <v>4</v>
      </c>
      <c r="FR8" s="22">
        <v>5</v>
      </c>
      <c r="FS8" s="22">
        <v>6</v>
      </c>
      <c r="FT8" s="22">
        <v>7</v>
      </c>
      <c r="FU8" s="22">
        <v>8</v>
      </c>
      <c r="FV8" s="22">
        <v>9</v>
      </c>
      <c r="FW8" s="22">
        <v>10</v>
      </c>
      <c r="FX8" s="22">
        <v>11</v>
      </c>
      <c r="FY8" s="22">
        <v>12</v>
      </c>
      <c r="FZ8" s="22">
        <v>1</v>
      </c>
      <c r="GA8" s="22">
        <v>2</v>
      </c>
      <c r="GB8" s="22">
        <v>3</v>
      </c>
      <c r="GC8" s="22">
        <v>4</v>
      </c>
      <c r="GD8" s="22">
        <v>5</v>
      </c>
      <c r="GE8" s="22">
        <v>6</v>
      </c>
      <c r="GF8" s="22">
        <v>7</v>
      </c>
      <c r="GG8" s="22">
        <v>8</v>
      </c>
      <c r="GH8" s="22">
        <v>9</v>
      </c>
      <c r="GI8" s="22">
        <v>10</v>
      </c>
      <c r="GJ8" s="22">
        <v>11</v>
      </c>
      <c r="GK8" s="22">
        <v>12</v>
      </c>
      <c r="GL8" s="22">
        <v>1</v>
      </c>
      <c r="GM8" s="22">
        <v>2</v>
      </c>
      <c r="GN8" s="22">
        <v>3</v>
      </c>
      <c r="GO8" s="22">
        <v>4</v>
      </c>
      <c r="GP8" s="22">
        <v>5</v>
      </c>
      <c r="GQ8" s="22">
        <v>6</v>
      </c>
      <c r="GR8" s="22">
        <v>7</v>
      </c>
      <c r="GS8" s="22">
        <v>8</v>
      </c>
      <c r="GT8" s="22">
        <v>9</v>
      </c>
      <c r="GU8" s="22">
        <v>10</v>
      </c>
      <c r="GV8" s="22">
        <v>11</v>
      </c>
      <c r="GW8" s="22">
        <v>12</v>
      </c>
      <c r="GX8" s="22">
        <v>1</v>
      </c>
      <c r="GY8" s="22">
        <v>2</v>
      </c>
      <c r="GZ8" s="22">
        <v>3</v>
      </c>
      <c r="HA8" s="22">
        <v>4</v>
      </c>
      <c r="HB8" s="22">
        <v>5</v>
      </c>
      <c r="HC8" s="22">
        <v>6</v>
      </c>
      <c r="HD8" s="22">
        <v>7</v>
      </c>
      <c r="HE8" s="22">
        <v>8</v>
      </c>
      <c r="HF8" s="22">
        <v>9</v>
      </c>
      <c r="HG8" s="22">
        <v>10</v>
      </c>
      <c r="HH8" s="22">
        <v>11</v>
      </c>
      <c r="HI8" s="22">
        <v>12</v>
      </c>
      <c r="HJ8" s="22">
        <v>1</v>
      </c>
      <c r="HK8" s="22">
        <v>2</v>
      </c>
      <c r="HL8" s="22">
        <v>3</v>
      </c>
      <c r="HM8" s="22">
        <v>4</v>
      </c>
      <c r="HN8" s="22">
        <v>5</v>
      </c>
      <c r="HO8" s="22">
        <v>6</v>
      </c>
      <c r="HP8" s="22">
        <v>7</v>
      </c>
      <c r="HQ8" s="22">
        <v>8</v>
      </c>
      <c r="HR8" s="22">
        <v>9</v>
      </c>
      <c r="HS8" s="22">
        <v>10</v>
      </c>
      <c r="HT8" s="22">
        <v>11</v>
      </c>
      <c r="HU8" s="22">
        <v>12</v>
      </c>
      <c r="HV8" s="22">
        <v>1</v>
      </c>
      <c r="HW8" s="22">
        <v>2</v>
      </c>
      <c r="HX8" s="22">
        <v>3</v>
      </c>
      <c r="HY8" s="22">
        <v>4</v>
      </c>
      <c r="HZ8" s="22">
        <v>5</v>
      </c>
      <c r="IA8" s="22">
        <v>6</v>
      </c>
      <c r="IB8" s="22">
        <v>7</v>
      </c>
      <c r="IC8" s="22">
        <v>8</v>
      </c>
      <c r="ID8" s="22">
        <v>9</v>
      </c>
      <c r="IE8" s="22">
        <v>10</v>
      </c>
      <c r="IF8" s="22">
        <v>11</v>
      </c>
      <c r="IG8" s="22">
        <v>12</v>
      </c>
      <c r="IH8" s="22">
        <v>1</v>
      </c>
      <c r="II8" s="22">
        <v>2</v>
      </c>
      <c r="IJ8" s="22">
        <v>3</v>
      </c>
      <c r="IK8" s="22">
        <v>4</v>
      </c>
      <c r="IL8" s="22">
        <v>5</v>
      </c>
      <c r="IM8" s="22">
        <v>6</v>
      </c>
      <c r="IN8" s="22">
        <v>7</v>
      </c>
      <c r="IO8" s="22">
        <v>8</v>
      </c>
      <c r="IP8" s="22">
        <v>9</v>
      </c>
      <c r="IQ8" s="22">
        <v>10</v>
      </c>
      <c r="IR8" s="22">
        <v>11</v>
      </c>
      <c r="IS8" s="22">
        <v>12</v>
      </c>
      <c r="IT8" s="22">
        <v>1</v>
      </c>
      <c r="IU8" s="22">
        <v>2</v>
      </c>
      <c r="IV8" s="22">
        <v>3</v>
      </c>
      <c r="IW8" s="22">
        <v>4</v>
      </c>
      <c r="IX8" s="22">
        <v>5</v>
      </c>
      <c r="IY8" s="22">
        <v>6</v>
      </c>
      <c r="IZ8" s="22">
        <v>7</v>
      </c>
      <c r="JA8" s="22">
        <v>8</v>
      </c>
      <c r="JB8" s="22">
        <v>9</v>
      </c>
      <c r="JC8" s="22">
        <v>10</v>
      </c>
      <c r="JD8" s="22">
        <v>11</v>
      </c>
      <c r="JE8" s="22">
        <v>12</v>
      </c>
      <c r="JF8" s="22">
        <v>1</v>
      </c>
      <c r="JG8" s="22">
        <v>2</v>
      </c>
      <c r="JH8" s="22">
        <v>3</v>
      </c>
      <c r="JI8" s="22">
        <v>4</v>
      </c>
      <c r="JJ8" s="22">
        <v>5</v>
      </c>
      <c r="JK8" s="22">
        <v>6</v>
      </c>
      <c r="JL8" s="22">
        <v>7</v>
      </c>
      <c r="JM8" s="22">
        <v>8</v>
      </c>
      <c r="JN8" s="22">
        <v>9</v>
      </c>
      <c r="JO8" s="22">
        <v>10</v>
      </c>
      <c r="JP8" s="22">
        <v>11</v>
      </c>
      <c r="JQ8" s="22">
        <v>12</v>
      </c>
      <c r="JR8" s="22">
        <v>1</v>
      </c>
      <c r="JS8" s="22">
        <v>2</v>
      </c>
      <c r="JT8" s="22">
        <v>3</v>
      </c>
      <c r="JU8" s="22">
        <v>4</v>
      </c>
      <c r="JV8" s="22">
        <v>5</v>
      </c>
      <c r="JW8" s="22">
        <v>6</v>
      </c>
      <c r="JX8" s="22">
        <v>7</v>
      </c>
      <c r="JY8" s="22">
        <v>8</v>
      </c>
      <c r="JZ8" s="22">
        <v>9</v>
      </c>
      <c r="KA8" s="22">
        <v>10</v>
      </c>
      <c r="KB8" s="22">
        <v>11</v>
      </c>
      <c r="KC8" s="22">
        <v>12</v>
      </c>
      <c r="KD8" s="22">
        <v>1</v>
      </c>
      <c r="KE8" s="22">
        <v>2</v>
      </c>
      <c r="KF8" s="22">
        <v>3</v>
      </c>
      <c r="KG8" s="22">
        <v>4</v>
      </c>
      <c r="KH8" s="22">
        <v>5</v>
      </c>
      <c r="KI8" s="22">
        <v>6</v>
      </c>
      <c r="KJ8" s="22">
        <v>7</v>
      </c>
      <c r="KK8" s="22">
        <v>8</v>
      </c>
      <c r="KL8" s="22">
        <v>9</v>
      </c>
      <c r="KM8" s="22">
        <v>10</v>
      </c>
      <c r="KN8" s="22">
        <v>11</v>
      </c>
      <c r="KO8" s="22">
        <v>12</v>
      </c>
    </row>
    <row r="9" spans="1:301">
      <c r="A9" s="22"/>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Y9" s="22"/>
      <c r="JZ9" s="22"/>
      <c r="KA9" s="22"/>
      <c r="KB9" s="22"/>
      <c r="KC9" s="22"/>
      <c r="KD9" s="22"/>
      <c r="KE9" s="22"/>
      <c r="KF9" s="22"/>
      <c r="KG9" s="22"/>
      <c r="KH9" s="22"/>
      <c r="KI9" s="22"/>
      <c r="KJ9" s="22"/>
      <c r="KK9" s="22"/>
      <c r="KL9" s="22"/>
      <c r="KM9" s="22"/>
      <c r="KN9" s="22"/>
      <c r="KO9" s="22"/>
    </row>
    <row r="10" spans="1:301">
      <c r="A10" s="22" t="s">
        <v>0</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v>1</v>
      </c>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Y10" s="22"/>
      <c r="JZ10" s="22"/>
      <c r="KA10" s="22"/>
      <c r="KB10" s="22"/>
      <c r="KC10" s="22"/>
      <c r="KD10" s="22"/>
      <c r="KE10" s="22"/>
      <c r="KF10" s="22"/>
      <c r="KG10" s="22"/>
      <c r="KH10" s="22"/>
      <c r="KI10" s="22"/>
      <c r="KJ10" s="22"/>
      <c r="KK10" s="22"/>
      <c r="KL10" s="22"/>
      <c r="KM10" s="22"/>
      <c r="KN10" s="22"/>
      <c r="KO10" s="22"/>
    </row>
    <row r="11" spans="1:301">
      <c r="A11" s="22">
        <v>1</v>
      </c>
      <c r="B11" s="23">
        <v>-247</v>
      </c>
      <c r="C11" s="23">
        <v>-351</v>
      </c>
      <c r="D11" s="23">
        <v>-300</v>
      </c>
      <c r="E11" s="23">
        <v>-142</v>
      </c>
      <c r="F11" s="23">
        <v>-45</v>
      </c>
      <c r="G11" s="23">
        <v>-226</v>
      </c>
      <c r="H11" s="23">
        <v>-340</v>
      </c>
      <c r="I11" s="23">
        <v>-316</v>
      </c>
      <c r="J11" s="23">
        <v>-97</v>
      </c>
      <c r="K11" s="23">
        <v>-99</v>
      </c>
      <c r="L11" s="23">
        <v>-171</v>
      </c>
      <c r="M11" s="23">
        <v>-231</v>
      </c>
      <c r="N11" s="23">
        <v>-233</v>
      </c>
      <c r="O11" s="23">
        <v>-217</v>
      </c>
      <c r="P11" s="23">
        <v>-302</v>
      </c>
      <c r="Q11" s="23">
        <v>-226</v>
      </c>
      <c r="R11" s="23">
        <v>-277</v>
      </c>
      <c r="S11" s="23">
        <v>-270</v>
      </c>
      <c r="T11" s="23">
        <v>-323</v>
      </c>
      <c r="U11" s="23">
        <v>-244</v>
      </c>
      <c r="V11" s="23">
        <v>-126</v>
      </c>
      <c r="W11" s="23">
        <v>-26</v>
      </c>
      <c r="X11" s="23">
        <v>-137</v>
      </c>
      <c r="Y11" s="23">
        <v>-198</v>
      </c>
      <c r="Z11" s="23">
        <v>-203</v>
      </c>
      <c r="AA11" s="23">
        <v>-200</v>
      </c>
      <c r="AB11" s="23">
        <v>-277</v>
      </c>
      <c r="AC11" s="23">
        <v>-258</v>
      </c>
      <c r="AD11" s="23">
        <v>-181</v>
      </c>
      <c r="AE11" s="23">
        <v>-194</v>
      </c>
      <c r="AF11" s="23">
        <v>-344</v>
      </c>
      <c r="AG11" s="23">
        <v>-328</v>
      </c>
      <c r="AH11" s="23">
        <v>-183</v>
      </c>
      <c r="AI11" s="23">
        <v>-110</v>
      </c>
      <c r="AJ11" s="23">
        <v>-173</v>
      </c>
      <c r="AK11" s="23">
        <v>-246</v>
      </c>
      <c r="AL11" s="23">
        <v>-311</v>
      </c>
      <c r="AM11" s="23">
        <v>-277</v>
      </c>
      <c r="AN11" s="23">
        <v>-286</v>
      </c>
      <c r="AO11" s="23">
        <v>-170</v>
      </c>
      <c r="AP11" s="23">
        <v>-210</v>
      </c>
      <c r="AQ11" s="23">
        <v>-300</v>
      </c>
      <c r="AR11" s="23">
        <v>-340</v>
      </c>
      <c r="AS11" s="23">
        <v>-232</v>
      </c>
      <c r="AT11" s="23">
        <v>-142</v>
      </c>
      <c r="AU11" s="23">
        <v>-25</v>
      </c>
      <c r="AV11" s="23">
        <v>-119</v>
      </c>
      <c r="AW11" s="23">
        <v>-184</v>
      </c>
      <c r="AX11" s="23">
        <v>-324</v>
      </c>
      <c r="AY11" s="23">
        <v>-399</v>
      </c>
      <c r="AZ11" s="23">
        <v>-199</v>
      </c>
      <c r="BA11" s="23">
        <v>-113</v>
      </c>
      <c r="BB11" s="23">
        <v>-178</v>
      </c>
      <c r="BC11" s="23">
        <v>-233</v>
      </c>
      <c r="BD11" s="23">
        <v>-325</v>
      </c>
      <c r="BE11" s="23">
        <v>-71</v>
      </c>
      <c r="BF11" s="23">
        <v>-16</v>
      </c>
      <c r="BG11" s="23">
        <v>87</v>
      </c>
      <c r="BH11" s="23">
        <v>-132</v>
      </c>
      <c r="BI11" s="23">
        <v>-249</v>
      </c>
      <c r="BJ11" s="23">
        <v>-308</v>
      </c>
      <c r="BK11" s="23">
        <v>-319</v>
      </c>
      <c r="BL11" s="23">
        <v>-260</v>
      </c>
      <c r="BM11" s="23">
        <v>-248</v>
      </c>
      <c r="BN11" s="23">
        <v>-266</v>
      </c>
      <c r="BO11" s="23">
        <v>-317</v>
      </c>
      <c r="BP11" s="23">
        <v>-307</v>
      </c>
      <c r="BQ11" s="23">
        <v>-223</v>
      </c>
      <c r="BR11" s="23">
        <v>-198</v>
      </c>
      <c r="BS11" s="23">
        <v>106</v>
      </c>
      <c r="BT11" s="23">
        <v>-47</v>
      </c>
      <c r="BU11" s="23">
        <v>-183</v>
      </c>
      <c r="BV11" s="23">
        <v>-189</v>
      </c>
      <c r="BW11" s="23">
        <v>-171</v>
      </c>
      <c r="BX11" s="23">
        <v>-167</v>
      </c>
      <c r="BY11" s="23">
        <v>-86</v>
      </c>
      <c r="BZ11" s="23">
        <v>-173</v>
      </c>
      <c r="CA11" s="23">
        <v>-231</v>
      </c>
      <c r="CB11" s="23">
        <v>-285</v>
      </c>
      <c r="CC11" s="23">
        <v>-247</v>
      </c>
      <c r="CD11" s="23">
        <v>-117</v>
      </c>
      <c r="CE11" s="23">
        <v>-37</v>
      </c>
      <c r="CF11" s="23">
        <v>-177</v>
      </c>
      <c r="CG11" s="23">
        <v>-304</v>
      </c>
      <c r="CH11" s="23">
        <v>-305</v>
      </c>
      <c r="CI11" s="23">
        <v>-203</v>
      </c>
      <c r="CJ11" s="23">
        <v>-201</v>
      </c>
      <c r="CK11" s="23">
        <v>-150</v>
      </c>
      <c r="CL11" s="23">
        <v>-157</v>
      </c>
      <c r="CM11" s="23">
        <v>-220</v>
      </c>
      <c r="CN11" s="23">
        <v>-307</v>
      </c>
      <c r="CO11" s="23">
        <v>-165</v>
      </c>
      <c r="CP11" s="23">
        <v>156</v>
      </c>
      <c r="CQ11" s="23">
        <v>30</v>
      </c>
      <c r="CR11" s="23">
        <v>-73</v>
      </c>
      <c r="CS11" s="23">
        <v>-236</v>
      </c>
      <c r="CT11" s="23">
        <v>-237</v>
      </c>
      <c r="CU11" s="23">
        <v>-210</v>
      </c>
      <c r="CV11" s="23">
        <v>-154</v>
      </c>
      <c r="CW11" s="23">
        <v>-165</v>
      </c>
      <c r="CX11" s="23">
        <v>-96</v>
      </c>
      <c r="CY11" s="23">
        <v>-207</v>
      </c>
      <c r="CZ11" s="23">
        <v>-231</v>
      </c>
      <c r="DA11" s="23">
        <v>-223</v>
      </c>
      <c r="DB11" s="23">
        <v>-87</v>
      </c>
      <c r="DC11" s="23">
        <v>-29</v>
      </c>
      <c r="DD11" s="23">
        <v>-141</v>
      </c>
      <c r="DE11" s="23">
        <v>-230</v>
      </c>
      <c r="DF11" s="23">
        <v>-273</v>
      </c>
      <c r="DG11" s="23">
        <v>-261</v>
      </c>
      <c r="DH11" s="23">
        <v>-172</v>
      </c>
      <c r="DI11" s="23">
        <v>-182</v>
      </c>
      <c r="DJ11" s="23">
        <v>-166</v>
      </c>
      <c r="DK11" s="23">
        <v>-200</v>
      </c>
      <c r="DL11" s="23">
        <v>-242</v>
      </c>
      <c r="DM11" s="23">
        <v>-206</v>
      </c>
      <c r="DN11" s="23">
        <v>-117</v>
      </c>
      <c r="DO11" s="23">
        <v>-47</v>
      </c>
      <c r="DP11" s="23">
        <v>-91</v>
      </c>
      <c r="DQ11" s="23">
        <v>-249</v>
      </c>
      <c r="DR11" s="23">
        <v>-343</v>
      </c>
      <c r="DS11" s="23">
        <v>-307</v>
      </c>
      <c r="DT11" s="23">
        <v>-245</v>
      </c>
      <c r="DU11" s="23">
        <v>-169</v>
      </c>
      <c r="DV11" s="23">
        <v>-165</v>
      </c>
      <c r="DW11" s="23">
        <v>-268</v>
      </c>
      <c r="DX11" s="23">
        <v>-272</v>
      </c>
      <c r="DY11" s="23">
        <v>-198</v>
      </c>
      <c r="DZ11" s="23">
        <v>-110</v>
      </c>
      <c r="EA11" s="23">
        <v>-9</v>
      </c>
      <c r="EB11" s="23">
        <v>-42</v>
      </c>
      <c r="EC11" s="23">
        <v>-156</v>
      </c>
      <c r="ED11" s="23">
        <v>-285</v>
      </c>
      <c r="EE11" s="23">
        <v>-236</v>
      </c>
      <c r="EF11" s="23">
        <v>-163</v>
      </c>
      <c r="EG11" s="23">
        <v>-154</v>
      </c>
      <c r="EH11" s="23">
        <v>-130</v>
      </c>
      <c r="EI11" s="23">
        <v>-113</v>
      </c>
      <c r="EJ11" s="23">
        <v>-227</v>
      </c>
      <c r="EK11" s="23">
        <v>-133</v>
      </c>
      <c r="EL11" s="23">
        <v>115</v>
      </c>
      <c r="EM11" s="23">
        <v>30</v>
      </c>
      <c r="EN11" s="23">
        <v>-113</v>
      </c>
      <c r="EO11" s="23">
        <v>-238</v>
      </c>
      <c r="EP11" s="23">
        <v>-303</v>
      </c>
      <c r="EQ11" s="23">
        <v>-210</v>
      </c>
      <c r="ER11" s="23">
        <v>-151</v>
      </c>
      <c r="ES11" s="23">
        <v>-207</v>
      </c>
      <c r="ET11" s="23">
        <v>-200</v>
      </c>
      <c r="EU11" s="23">
        <v>-226</v>
      </c>
      <c r="EV11" s="23">
        <v>-191</v>
      </c>
      <c r="EW11" s="23">
        <v>-179</v>
      </c>
      <c r="EX11" s="23">
        <v>20</v>
      </c>
      <c r="EY11" s="23">
        <v>75</v>
      </c>
      <c r="EZ11" s="23">
        <v>-21</v>
      </c>
      <c r="FA11" s="23">
        <v>-203</v>
      </c>
      <c r="FB11" s="23">
        <v>-162</v>
      </c>
      <c r="FC11" s="23">
        <v>-193</v>
      </c>
      <c r="FD11" s="23">
        <v>-177</v>
      </c>
      <c r="FE11" s="23">
        <v>-202</v>
      </c>
      <c r="FF11" s="23">
        <v>-113</v>
      </c>
      <c r="FG11" s="23">
        <v>-180</v>
      </c>
      <c r="FH11" s="23">
        <v>-242</v>
      </c>
      <c r="FI11" s="23">
        <v>-209</v>
      </c>
      <c r="FJ11" s="23">
        <v>-19</v>
      </c>
      <c r="FK11" s="23">
        <v>-79</v>
      </c>
      <c r="FL11" s="23">
        <v>-79</v>
      </c>
      <c r="FM11" s="23">
        <v>-198</v>
      </c>
      <c r="FN11" s="23">
        <v>-140</v>
      </c>
      <c r="FO11" s="23">
        <v>-60</v>
      </c>
      <c r="FP11" s="23">
        <v>-174</v>
      </c>
      <c r="FQ11" s="23">
        <v>-197</v>
      </c>
      <c r="FR11" s="23">
        <v>-141</v>
      </c>
      <c r="FS11" s="23">
        <v>-97</v>
      </c>
      <c r="FT11" s="23">
        <v>-133</v>
      </c>
      <c r="FU11" s="23">
        <v>-205</v>
      </c>
      <c r="FV11" s="23">
        <v>-3</v>
      </c>
      <c r="FW11" s="23">
        <v>15</v>
      </c>
      <c r="FX11" s="23">
        <v>-180</v>
      </c>
      <c r="FY11" s="23">
        <v>-245</v>
      </c>
      <c r="FZ11" s="23">
        <v>-353</v>
      </c>
      <c r="GA11" s="23">
        <v>-272</v>
      </c>
      <c r="GB11" s="23">
        <v>-192</v>
      </c>
      <c r="GC11" s="23">
        <v>-212</v>
      </c>
      <c r="GD11" s="23">
        <v>-209</v>
      </c>
      <c r="GE11" s="23">
        <v>-238</v>
      </c>
      <c r="GF11" s="23">
        <v>-259</v>
      </c>
      <c r="GG11" s="23">
        <v>-219</v>
      </c>
      <c r="GH11" s="23">
        <v>-116</v>
      </c>
      <c r="GI11" s="23">
        <v>-25</v>
      </c>
      <c r="GJ11" s="23">
        <v>-129</v>
      </c>
      <c r="GK11" s="23">
        <v>-191</v>
      </c>
      <c r="GL11" s="23">
        <v>-197</v>
      </c>
      <c r="GM11" s="23">
        <v>-268</v>
      </c>
      <c r="GN11" s="23">
        <v>-212</v>
      </c>
      <c r="GO11" s="23">
        <v>-85</v>
      </c>
      <c r="GP11" s="23">
        <v>-67</v>
      </c>
      <c r="GQ11" s="23">
        <v>-141</v>
      </c>
      <c r="GR11" s="23">
        <v>-185</v>
      </c>
      <c r="GS11" s="23">
        <v>-120</v>
      </c>
      <c r="GT11" s="23">
        <v>-20</v>
      </c>
      <c r="GU11" s="23">
        <v>75</v>
      </c>
      <c r="GV11" s="23">
        <v>-100</v>
      </c>
      <c r="GW11" s="23">
        <v>-188</v>
      </c>
      <c r="GX11" s="23">
        <v>-102</v>
      </c>
      <c r="GY11" s="23">
        <v>-217</v>
      </c>
      <c r="GZ11" s="23">
        <v>-241</v>
      </c>
      <c r="HA11" s="23">
        <v>-146</v>
      </c>
      <c r="HB11" s="23">
        <v>-122</v>
      </c>
      <c r="HC11" s="23">
        <v>-183</v>
      </c>
      <c r="HD11" s="23">
        <v>-123</v>
      </c>
      <c r="HE11" s="23">
        <v>-202</v>
      </c>
      <c r="HF11" s="23">
        <v>113</v>
      </c>
      <c r="HG11" s="23">
        <v>67</v>
      </c>
      <c r="HH11" s="23">
        <v>-59</v>
      </c>
      <c r="HI11" s="23">
        <v>-197</v>
      </c>
      <c r="HJ11" s="23">
        <v>-261</v>
      </c>
      <c r="HK11" s="23">
        <v>-228</v>
      </c>
      <c r="HL11" s="23">
        <v>-163</v>
      </c>
      <c r="HM11" s="23">
        <v>-166</v>
      </c>
      <c r="HN11" s="23">
        <v>-141</v>
      </c>
      <c r="HO11" s="23">
        <v>-189</v>
      </c>
      <c r="HP11" s="23">
        <v>-221</v>
      </c>
      <c r="HQ11" s="23">
        <v>-146</v>
      </c>
      <c r="HR11" s="23">
        <v>3</v>
      </c>
      <c r="HS11" s="23">
        <v>-9</v>
      </c>
      <c r="HT11" s="23">
        <v>36</v>
      </c>
      <c r="HU11" s="23">
        <v>-56</v>
      </c>
      <c r="HV11" s="23">
        <v>-208</v>
      </c>
      <c r="HW11" s="23">
        <v>-141</v>
      </c>
      <c r="HX11" s="23">
        <v>-260</v>
      </c>
      <c r="HY11" s="23">
        <v>-178</v>
      </c>
      <c r="HZ11" s="23">
        <v>-156</v>
      </c>
      <c r="IA11" s="23">
        <v>-130</v>
      </c>
      <c r="IB11" s="23">
        <v>-12</v>
      </c>
      <c r="IC11" s="23">
        <v>-103</v>
      </c>
      <c r="ID11" s="23">
        <v>91</v>
      </c>
      <c r="IE11" s="23">
        <v>-68</v>
      </c>
      <c r="IF11" s="23">
        <v>-109</v>
      </c>
      <c r="IG11" s="23">
        <v>-256</v>
      </c>
      <c r="IH11" s="23">
        <v>-216</v>
      </c>
      <c r="II11" s="23">
        <v>-299</v>
      </c>
      <c r="IJ11" s="23">
        <v>-182</v>
      </c>
      <c r="IK11" s="23">
        <v>-177</v>
      </c>
      <c r="IL11" s="23">
        <v>-128</v>
      </c>
      <c r="IM11" s="23">
        <v>-160</v>
      </c>
      <c r="IN11" s="23">
        <v>-162</v>
      </c>
      <c r="IO11" s="23">
        <v>-174</v>
      </c>
      <c r="IP11" s="23">
        <v>-122</v>
      </c>
      <c r="IQ11" s="23">
        <v>-107</v>
      </c>
      <c r="IR11" s="23">
        <v>-144</v>
      </c>
      <c r="IS11" s="23">
        <v>-147</v>
      </c>
      <c r="IT11" s="23">
        <v>-291</v>
      </c>
      <c r="IU11" s="23">
        <v>-195</v>
      </c>
      <c r="IV11" s="23">
        <v>-170</v>
      </c>
      <c r="IW11" s="23">
        <v>-147</v>
      </c>
      <c r="IX11" s="23">
        <v>-156</v>
      </c>
      <c r="IY11" s="23">
        <v>-87</v>
      </c>
      <c r="IZ11" s="23">
        <v>-155</v>
      </c>
      <c r="JA11" s="23">
        <v>-134</v>
      </c>
      <c r="JB11" s="23">
        <v>-74</v>
      </c>
      <c r="JC11" s="23">
        <v>-106</v>
      </c>
      <c r="JD11" s="23">
        <v>-109</v>
      </c>
      <c r="JE11" s="23">
        <v>-172</v>
      </c>
      <c r="JF11" s="23">
        <v>-235</v>
      </c>
      <c r="JG11" s="23">
        <v>-205</v>
      </c>
      <c r="JH11" s="23">
        <v>-206</v>
      </c>
      <c r="JI11" s="23">
        <v>-93</v>
      </c>
      <c r="JJ11" s="23">
        <v>-150</v>
      </c>
      <c r="JK11" s="23">
        <v>-181</v>
      </c>
      <c r="JL11" s="23">
        <v>-168</v>
      </c>
      <c r="JM11" s="23">
        <v>-140</v>
      </c>
      <c r="JN11" s="23">
        <v>13</v>
      </c>
      <c r="JO11" s="23">
        <v>17</v>
      </c>
      <c r="JP11" s="23">
        <v>57</v>
      </c>
      <c r="JQ11" s="23">
        <v>-165</v>
      </c>
      <c r="JR11" s="23">
        <v>-258</v>
      </c>
      <c r="JS11" s="23">
        <v>-225</v>
      </c>
      <c r="JT11" s="23">
        <v>-186</v>
      </c>
      <c r="JU11" s="23">
        <v>-136</v>
      </c>
      <c r="JV11" s="23">
        <v>-154</v>
      </c>
      <c r="JW11" s="23">
        <v>-154</v>
      </c>
      <c r="JX11" s="23">
        <v>-264</v>
      </c>
      <c r="JY11" s="23">
        <v>-198</v>
      </c>
      <c r="JZ11" s="23">
        <v>13</v>
      </c>
      <c r="KA11" s="23">
        <v>-24</v>
      </c>
      <c r="KB11" s="23">
        <v>-52</v>
      </c>
      <c r="KC11" s="23">
        <v>-88</v>
      </c>
      <c r="KD11" s="23">
        <v>-208</v>
      </c>
      <c r="KE11" s="23">
        <v>-194</v>
      </c>
      <c r="KF11" s="23">
        <v>-212</v>
      </c>
      <c r="KG11" s="23">
        <v>-130</v>
      </c>
      <c r="KH11" s="23">
        <v>-90</v>
      </c>
      <c r="KI11" s="23">
        <v>-155</v>
      </c>
      <c r="KJ11" s="23">
        <v>-237</v>
      </c>
      <c r="KK11" s="23">
        <v>-161</v>
      </c>
      <c r="KL11" s="23">
        <v>-23</v>
      </c>
      <c r="KM11" s="23">
        <v>111</v>
      </c>
      <c r="KN11" s="23">
        <v>136</v>
      </c>
      <c r="KO11" s="23">
        <v>0</v>
      </c>
    </row>
    <row r="12" spans="1:301">
      <c r="A12" s="22">
        <v>2</v>
      </c>
      <c r="B12" s="23">
        <v>-438</v>
      </c>
      <c r="C12" s="23">
        <v>-99999</v>
      </c>
      <c r="D12" s="23">
        <v>-399</v>
      </c>
      <c r="E12" s="23">
        <v>-195</v>
      </c>
      <c r="F12" s="23">
        <v>-143</v>
      </c>
      <c r="G12" s="23">
        <v>-255</v>
      </c>
      <c r="H12" s="23">
        <v>-429</v>
      </c>
      <c r="I12" s="23">
        <v>-441</v>
      </c>
      <c r="J12" s="23">
        <v>-225</v>
      </c>
      <c r="K12" s="23">
        <v>-222</v>
      </c>
      <c r="L12" s="23">
        <v>-310</v>
      </c>
      <c r="M12" s="23">
        <v>-359</v>
      </c>
      <c r="N12" s="23">
        <v>-99999</v>
      </c>
      <c r="O12" s="23">
        <v>-99999</v>
      </c>
      <c r="P12" s="23">
        <v>-99999</v>
      </c>
      <c r="Q12" s="23">
        <v>-99999</v>
      </c>
      <c r="R12" s="23">
        <v>-347</v>
      </c>
      <c r="S12" s="23">
        <v>-316</v>
      </c>
      <c r="T12" s="23">
        <v>-414</v>
      </c>
      <c r="U12" s="23">
        <v>-383</v>
      </c>
      <c r="V12" s="23">
        <v>-252</v>
      </c>
      <c r="W12" s="23">
        <v>-143</v>
      </c>
      <c r="X12" s="23">
        <v>-259</v>
      </c>
      <c r="Y12" s="23">
        <v>-371</v>
      </c>
      <c r="Z12" s="23">
        <v>-411</v>
      </c>
      <c r="AA12" s="23">
        <v>-374</v>
      </c>
      <c r="AB12" s="23">
        <v>-414</v>
      </c>
      <c r="AC12" s="23">
        <v>-365</v>
      </c>
      <c r="AD12" s="23">
        <v>-262</v>
      </c>
      <c r="AE12" s="23">
        <v>-246</v>
      </c>
      <c r="AF12" s="23">
        <v>-435</v>
      </c>
      <c r="AG12" s="23">
        <v>-478</v>
      </c>
      <c r="AH12" s="23">
        <v>-353</v>
      </c>
      <c r="AI12" s="23">
        <v>-265</v>
      </c>
      <c r="AJ12" s="23">
        <v>-347</v>
      </c>
      <c r="AK12" s="23">
        <v>-414</v>
      </c>
      <c r="AL12" s="23">
        <v>-481</v>
      </c>
      <c r="AM12" s="23">
        <v>-460</v>
      </c>
      <c r="AN12" s="23">
        <v>-426</v>
      </c>
      <c r="AO12" s="23">
        <v>-301</v>
      </c>
      <c r="AP12" s="23">
        <v>-298</v>
      </c>
      <c r="AQ12" s="23">
        <v>-399</v>
      </c>
      <c r="AR12" s="23">
        <v>-475</v>
      </c>
      <c r="AS12" s="23">
        <v>-387</v>
      </c>
      <c r="AT12" s="23">
        <v>-329</v>
      </c>
      <c r="AU12" s="23">
        <v>-173</v>
      </c>
      <c r="AV12" s="23">
        <v>-252</v>
      </c>
      <c r="AW12" s="23">
        <v>-362</v>
      </c>
      <c r="AX12" s="23">
        <v>-527</v>
      </c>
      <c r="AY12" s="23">
        <v>-594</v>
      </c>
      <c r="AZ12" s="23">
        <v>-399</v>
      </c>
      <c r="BA12" s="23">
        <v>-222</v>
      </c>
      <c r="BB12" s="23">
        <v>-243</v>
      </c>
      <c r="BC12" s="23">
        <v>-326</v>
      </c>
      <c r="BD12" s="23">
        <v>-472</v>
      </c>
      <c r="BE12" s="23">
        <v>-213</v>
      </c>
      <c r="BF12" s="23">
        <v>-195</v>
      </c>
      <c r="BG12" s="23">
        <v>-106</v>
      </c>
      <c r="BH12" s="23">
        <v>-262</v>
      </c>
      <c r="BI12" s="23">
        <v>-460</v>
      </c>
      <c r="BJ12" s="23">
        <v>-546</v>
      </c>
      <c r="BK12" s="23">
        <v>-544</v>
      </c>
      <c r="BL12" s="23">
        <v>-495</v>
      </c>
      <c r="BM12" s="23">
        <v>-427</v>
      </c>
      <c r="BN12" s="23">
        <v>-386</v>
      </c>
      <c r="BO12" s="23">
        <v>-478</v>
      </c>
      <c r="BP12" s="23">
        <v>-505</v>
      </c>
      <c r="BQ12" s="23">
        <v>-406</v>
      </c>
      <c r="BR12" s="23">
        <v>-391</v>
      </c>
      <c r="BS12" s="23">
        <v>-80</v>
      </c>
      <c r="BT12" s="23">
        <v>-99999</v>
      </c>
      <c r="BU12" s="23">
        <v>-99999</v>
      </c>
      <c r="BV12" s="23">
        <v>-99999</v>
      </c>
      <c r="BW12" s="23">
        <v>-397</v>
      </c>
      <c r="BX12" s="23">
        <v>-323</v>
      </c>
      <c r="BY12" s="23">
        <v>-266</v>
      </c>
      <c r="BZ12" s="23">
        <v>-321</v>
      </c>
      <c r="CA12" s="23">
        <v>-394</v>
      </c>
      <c r="CB12" s="23">
        <v>-466</v>
      </c>
      <c r="CC12" s="23">
        <v>-446</v>
      </c>
      <c r="CD12" s="23" t="s">
        <v>22</v>
      </c>
      <c r="CE12" s="23" t="s">
        <v>22</v>
      </c>
      <c r="CF12" s="23" t="s">
        <v>22</v>
      </c>
      <c r="CG12" s="23" t="s">
        <v>22</v>
      </c>
      <c r="CH12" s="23" t="s">
        <v>22</v>
      </c>
      <c r="CI12" s="23" t="s">
        <v>22</v>
      </c>
      <c r="CJ12" s="23" t="s">
        <v>22</v>
      </c>
      <c r="CK12" s="23" t="s">
        <v>22</v>
      </c>
      <c r="CL12" s="23" t="s">
        <v>22</v>
      </c>
      <c r="CM12" s="23" t="s">
        <v>22</v>
      </c>
      <c r="CN12" s="23" t="s">
        <v>22</v>
      </c>
      <c r="CO12" s="23" t="s">
        <v>22</v>
      </c>
      <c r="CP12" s="23" t="s">
        <v>22</v>
      </c>
      <c r="CQ12" s="23" t="s">
        <v>22</v>
      </c>
      <c r="CR12" s="23" t="s">
        <v>22</v>
      </c>
      <c r="CS12" s="23" t="s">
        <v>22</v>
      </c>
      <c r="CT12" s="23" t="s">
        <v>22</v>
      </c>
      <c r="CU12" s="23" t="s">
        <v>22</v>
      </c>
      <c r="CV12" s="23" t="s">
        <v>22</v>
      </c>
      <c r="CW12" s="23" t="s">
        <v>22</v>
      </c>
      <c r="CX12" s="23" t="s">
        <v>22</v>
      </c>
      <c r="CY12" s="23" t="s">
        <v>22</v>
      </c>
      <c r="CZ12" s="23" t="s">
        <v>22</v>
      </c>
      <c r="DA12" s="23" t="s">
        <v>22</v>
      </c>
      <c r="DB12" s="23" t="s">
        <v>22</v>
      </c>
      <c r="DC12" s="23" t="s">
        <v>22</v>
      </c>
      <c r="DD12" s="23" t="s">
        <v>22</v>
      </c>
      <c r="DE12" s="23" t="s">
        <v>22</v>
      </c>
      <c r="DF12" s="23" t="s">
        <v>22</v>
      </c>
      <c r="DG12" s="23" t="s">
        <v>22</v>
      </c>
      <c r="DH12" s="23" t="s">
        <v>22</v>
      </c>
      <c r="DI12" s="23" t="s">
        <v>22</v>
      </c>
      <c r="DJ12" s="23" t="s">
        <v>22</v>
      </c>
      <c r="DK12" s="23" t="s">
        <v>22</v>
      </c>
      <c r="DL12" s="23" t="s">
        <v>22</v>
      </c>
      <c r="DM12" s="23" t="s">
        <v>22</v>
      </c>
      <c r="DN12" s="23" t="s">
        <v>22</v>
      </c>
      <c r="DO12" s="23" t="s">
        <v>22</v>
      </c>
      <c r="DP12" s="23" t="s">
        <v>22</v>
      </c>
      <c r="DQ12" s="23" t="s">
        <v>22</v>
      </c>
      <c r="DR12" s="23" t="s">
        <v>22</v>
      </c>
      <c r="DS12" s="23" t="s">
        <v>22</v>
      </c>
      <c r="DT12" s="23" t="s">
        <v>22</v>
      </c>
      <c r="DU12" s="23" t="s">
        <v>22</v>
      </c>
      <c r="DV12" s="23" t="s">
        <v>22</v>
      </c>
      <c r="DW12" s="23" t="s">
        <v>22</v>
      </c>
      <c r="DX12" s="23" t="s">
        <v>22</v>
      </c>
      <c r="DY12" s="23" t="s">
        <v>22</v>
      </c>
      <c r="DZ12" s="23" t="s">
        <v>22</v>
      </c>
      <c r="EA12" s="23" t="s">
        <v>22</v>
      </c>
      <c r="EB12" s="23" t="s">
        <v>22</v>
      </c>
      <c r="EC12" s="23" t="s">
        <v>22</v>
      </c>
      <c r="ED12" s="23" t="s">
        <v>22</v>
      </c>
      <c r="EE12" s="23" t="s">
        <v>22</v>
      </c>
      <c r="EF12" s="23" t="s">
        <v>22</v>
      </c>
      <c r="EG12" s="23" t="s">
        <v>22</v>
      </c>
      <c r="EH12" s="23" t="s">
        <v>22</v>
      </c>
      <c r="EI12" s="23" t="s">
        <v>22</v>
      </c>
      <c r="EJ12" s="23" t="s">
        <v>22</v>
      </c>
      <c r="EK12" s="23" t="s">
        <v>22</v>
      </c>
      <c r="EL12" s="23" t="s">
        <v>22</v>
      </c>
      <c r="EM12" s="23" t="s">
        <v>22</v>
      </c>
      <c r="EN12" s="23" t="s">
        <v>22</v>
      </c>
      <c r="EO12" s="23" t="s">
        <v>22</v>
      </c>
      <c r="EP12" s="23" t="s">
        <v>22</v>
      </c>
      <c r="EQ12" s="23" t="s">
        <v>22</v>
      </c>
      <c r="ER12" s="23" t="s">
        <v>22</v>
      </c>
      <c r="ES12" s="23" t="s">
        <v>22</v>
      </c>
      <c r="ET12" s="23" t="s">
        <v>22</v>
      </c>
      <c r="EU12" s="23" t="s">
        <v>22</v>
      </c>
      <c r="EV12" s="23" t="s">
        <v>22</v>
      </c>
      <c r="EW12" s="23" t="s">
        <v>22</v>
      </c>
      <c r="EX12" s="23" t="s">
        <v>22</v>
      </c>
      <c r="EY12" s="23" t="s">
        <v>22</v>
      </c>
      <c r="EZ12" s="23" t="s">
        <v>22</v>
      </c>
      <c r="FA12" s="23" t="s">
        <v>22</v>
      </c>
      <c r="FB12" s="23" t="s">
        <v>22</v>
      </c>
      <c r="FC12" s="23" t="s">
        <v>22</v>
      </c>
      <c r="FD12" s="23" t="s">
        <v>22</v>
      </c>
      <c r="FE12" s="23" t="s">
        <v>22</v>
      </c>
      <c r="FF12" s="23" t="s">
        <v>22</v>
      </c>
      <c r="FG12" s="23" t="s">
        <v>22</v>
      </c>
      <c r="FH12" s="23" t="s">
        <v>22</v>
      </c>
      <c r="FI12" s="23" t="s">
        <v>22</v>
      </c>
      <c r="FJ12" s="23" t="s">
        <v>22</v>
      </c>
      <c r="FK12" s="23" t="s">
        <v>22</v>
      </c>
      <c r="FL12" s="23" t="s">
        <v>22</v>
      </c>
      <c r="FM12" s="23" t="s">
        <v>22</v>
      </c>
      <c r="FN12" s="23" t="s">
        <v>22</v>
      </c>
      <c r="FO12" s="23" t="s">
        <v>22</v>
      </c>
      <c r="FP12" s="23" t="s">
        <v>22</v>
      </c>
      <c r="FQ12" s="23" t="s">
        <v>22</v>
      </c>
      <c r="FR12" s="23" t="s">
        <v>22</v>
      </c>
      <c r="FS12" s="23" t="s">
        <v>22</v>
      </c>
      <c r="FT12" s="23" t="s">
        <v>22</v>
      </c>
      <c r="FU12" s="23" t="s">
        <v>22</v>
      </c>
      <c r="FV12" s="23" t="s">
        <v>22</v>
      </c>
      <c r="FW12" s="23" t="s">
        <v>22</v>
      </c>
      <c r="FX12" s="23" t="s">
        <v>22</v>
      </c>
      <c r="FY12" s="23" t="s">
        <v>22</v>
      </c>
      <c r="FZ12" s="23" t="s">
        <v>22</v>
      </c>
      <c r="GA12" s="23" t="s">
        <v>22</v>
      </c>
      <c r="GB12" s="23" t="s">
        <v>22</v>
      </c>
      <c r="GC12" s="23" t="s">
        <v>22</v>
      </c>
      <c r="GD12" s="23" t="s">
        <v>22</v>
      </c>
      <c r="GE12" s="23" t="s">
        <v>22</v>
      </c>
      <c r="GF12" s="23" t="s">
        <v>22</v>
      </c>
      <c r="GG12" s="23" t="s">
        <v>22</v>
      </c>
      <c r="GH12" s="23" t="s">
        <v>22</v>
      </c>
      <c r="GI12" s="23" t="s">
        <v>22</v>
      </c>
      <c r="GJ12" s="23" t="s">
        <v>22</v>
      </c>
      <c r="GK12" s="23" t="s">
        <v>22</v>
      </c>
      <c r="GL12" s="23" t="s">
        <v>22</v>
      </c>
      <c r="GM12" s="23" t="s">
        <v>22</v>
      </c>
      <c r="GN12" s="23" t="s">
        <v>22</v>
      </c>
      <c r="GO12" s="23" t="s">
        <v>22</v>
      </c>
      <c r="GP12" s="23" t="s">
        <v>22</v>
      </c>
      <c r="GQ12" s="23" t="s">
        <v>22</v>
      </c>
      <c r="GR12" s="23" t="s">
        <v>22</v>
      </c>
      <c r="GS12" s="23" t="s">
        <v>22</v>
      </c>
      <c r="GT12" s="23" t="s">
        <v>22</v>
      </c>
      <c r="GU12" s="23" t="s">
        <v>22</v>
      </c>
      <c r="GV12" s="23" t="s">
        <v>22</v>
      </c>
      <c r="GW12" s="23" t="s">
        <v>22</v>
      </c>
      <c r="GX12" s="23" t="s">
        <v>22</v>
      </c>
      <c r="GY12" s="23" t="s">
        <v>22</v>
      </c>
      <c r="GZ12" s="23" t="s">
        <v>22</v>
      </c>
      <c r="HA12" s="23" t="s">
        <v>22</v>
      </c>
      <c r="HB12" s="23" t="s">
        <v>22</v>
      </c>
      <c r="HC12" s="23" t="s">
        <v>22</v>
      </c>
      <c r="HD12" s="23" t="s">
        <v>22</v>
      </c>
      <c r="HE12" s="23" t="s">
        <v>22</v>
      </c>
      <c r="HF12" s="23" t="s">
        <v>22</v>
      </c>
      <c r="HG12" s="23" t="s">
        <v>22</v>
      </c>
      <c r="HH12" s="23" t="s">
        <v>22</v>
      </c>
      <c r="HI12" s="23" t="s">
        <v>22</v>
      </c>
      <c r="HJ12" s="23" t="s">
        <v>22</v>
      </c>
      <c r="HK12" s="23" t="s">
        <v>22</v>
      </c>
      <c r="HL12" s="23" t="s">
        <v>22</v>
      </c>
      <c r="HM12" s="23" t="s">
        <v>22</v>
      </c>
      <c r="HN12" s="23" t="s">
        <v>22</v>
      </c>
      <c r="HO12" s="23" t="s">
        <v>22</v>
      </c>
      <c r="HP12" s="23" t="s">
        <v>22</v>
      </c>
      <c r="HQ12" s="23" t="s">
        <v>22</v>
      </c>
      <c r="HR12" s="23" t="s">
        <v>22</v>
      </c>
      <c r="HS12" s="23" t="s">
        <v>22</v>
      </c>
      <c r="HT12" s="23" t="s">
        <v>22</v>
      </c>
      <c r="HU12" s="23" t="s">
        <v>22</v>
      </c>
      <c r="HV12" s="23" t="s">
        <v>22</v>
      </c>
      <c r="HW12" s="23" t="s">
        <v>22</v>
      </c>
      <c r="HX12" s="23" t="s">
        <v>22</v>
      </c>
      <c r="HY12" s="23" t="s">
        <v>22</v>
      </c>
      <c r="HZ12" s="23" t="s">
        <v>22</v>
      </c>
      <c r="IA12" s="23" t="s">
        <v>22</v>
      </c>
      <c r="IB12" s="23" t="s">
        <v>22</v>
      </c>
      <c r="IC12" s="23" t="s">
        <v>22</v>
      </c>
      <c r="ID12" s="23" t="s">
        <v>22</v>
      </c>
      <c r="IE12" s="23" t="s">
        <v>22</v>
      </c>
      <c r="IF12" s="23" t="s">
        <v>22</v>
      </c>
      <c r="IG12" s="23" t="s">
        <v>22</v>
      </c>
      <c r="IH12" s="23" t="s">
        <v>22</v>
      </c>
      <c r="II12" s="23" t="s">
        <v>22</v>
      </c>
      <c r="IJ12" s="23" t="s">
        <v>22</v>
      </c>
      <c r="IK12" s="23" t="s">
        <v>22</v>
      </c>
      <c r="IL12" s="23" t="s">
        <v>22</v>
      </c>
      <c r="IM12" s="23" t="s">
        <v>22</v>
      </c>
      <c r="IN12" s="23" t="s">
        <v>22</v>
      </c>
      <c r="IO12" s="23" t="s">
        <v>22</v>
      </c>
      <c r="IP12" s="23" t="s">
        <v>22</v>
      </c>
      <c r="IQ12" s="23" t="s">
        <v>22</v>
      </c>
      <c r="IR12" s="23" t="s">
        <v>22</v>
      </c>
      <c r="IS12" s="23" t="s">
        <v>22</v>
      </c>
      <c r="IT12" s="23" t="s">
        <v>22</v>
      </c>
      <c r="IU12" s="23" t="s">
        <v>22</v>
      </c>
      <c r="IV12" s="23" t="s">
        <v>22</v>
      </c>
      <c r="IW12" s="23" t="s">
        <v>22</v>
      </c>
      <c r="IX12" s="23" t="s">
        <v>22</v>
      </c>
      <c r="IY12" s="23" t="s">
        <v>22</v>
      </c>
      <c r="IZ12" s="23" t="s">
        <v>22</v>
      </c>
      <c r="JA12" s="23" t="s">
        <v>22</v>
      </c>
      <c r="JB12" s="23" t="s">
        <v>22</v>
      </c>
      <c r="JC12" s="23" t="s">
        <v>22</v>
      </c>
      <c r="JD12" s="23" t="s">
        <v>22</v>
      </c>
      <c r="JE12" s="23" t="s">
        <v>22</v>
      </c>
      <c r="JF12" s="23" t="s">
        <v>22</v>
      </c>
      <c r="JG12" s="23" t="s">
        <v>22</v>
      </c>
      <c r="JH12" s="23" t="s">
        <v>22</v>
      </c>
      <c r="JI12" s="23" t="s">
        <v>22</v>
      </c>
      <c r="JJ12" s="23" t="s">
        <v>22</v>
      </c>
      <c r="JK12" s="23" t="s">
        <v>22</v>
      </c>
      <c r="JL12" s="23" t="s">
        <v>22</v>
      </c>
      <c r="JM12" s="23" t="s">
        <v>22</v>
      </c>
      <c r="JN12" s="23" t="s">
        <v>22</v>
      </c>
      <c r="JO12" s="23" t="s">
        <v>22</v>
      </c>
      <c r="JP12" s="23" t="s">
        <v>22</v>
      </c>
      <c r="JQ12" s="23" t="s">
        <v>22</v>
      </c>
      <c r="JR12" s="23" t="s">
        <v>22</v>
      </c>
      <c r="JS12" s="23" t="s">
        <v>22</v>
      </c>
      <c r="JT12" s="23" t="s">
        <v>22</v>
      </c>
      <c r="JU12" s="23" t="s">
        <v>22</v>
      </c>
      <c r="JV12" s="23" t="s">
        <v>22</v>
      </c>
      <c r="JW12" s="23" t="s">
        <v>22</v>
      </c>
      <c r="JX12" s="23" t="s">
        <v>22</v>
      </c>
      <c r="JY12" s="23" t="s">
        <v>22</v>
      </c>
      <c r="JZ12" s="23" t="s">
        <v>22</v>
      </c>
      <c r="KA12" s="23" t="s">
        <v>22</v>
      </c>
      <c r="KB12" s="23" t="s">
        <v>22</v>
      </c>
      <c r="KC12" s="23" t="s">
        <v>22</v>
      </c>
      <c r="KD12" s="23" t="s">
        <v>22</v>
      </c>
      <c r="KE12" s="23" t="s">
        <v>22</v>
      </c>
      <c r="KF12" s="23" t="s">
        <v>22</v>
      </c>
      <c r="KG12" s="23" t="s">
        <v>22</v>
      </c>
      <c r="KH12" s="23" t="s">
        <v>22</v>
      </c>
      <c r="KI12" s="23" t="s">
        <v>22</v>
      </c>
      <c r="KJ12" s="23" t="s">
        <v>22</v>
      </c>
      <c r="KK12" s="23" t="s">
        <v>22</v>
      </c>
      <c r="KL12" s="23" t="s">
        <v>22</v>
      </c>
      <c r="KM12" s="23" t="s">
        <v>22</v>
      </c>
      <c r="KN12" s="23" t="s">
        <v>22</v>
      </c>
      <c r="KO12" s="23">
        <v>0</v>
      </c>
    </row>
    <row r="13" spans="1:301">
      <c r="A13" s="22">
        <v>3</v>
      </c>
      <c r="B13" s="23">
        <v>-455</v>
      </c>
      <c r="C13" s="23">
        <v>-556</v>
      </c>
      <c r="D13" s="23">
        <v>-458</v>
      </c>
      <c r="E13" s="23">
        <v>-290</v>
      </c>
      <c r="F13" s="23">
        <v>-165</v>
      </c>
      <c r="G13" s="23">
        <v>-293</v>
      </c>
      <c r="H13" s="23">
        <v>-458</v>
      </c>
      <c r="I13" s="23">
        <v>-464</v>
      </c>
      <c r="J13" s="23">
        <v>-254</v>
      </c>
      <c r="K13" s="23">
        <v>-269</v>
      </c>
      <c r="L13" s="23">
        <v>-351</v>
      </c>
      <c r="M13" s="23">
        <v>-394</v>
      </c>
      <c r="N13" s="23">
        <v>-418</v>
      </c>
      <c r="O13" s="23">
        <v>-367</v>
      </c>
      <c r="P13" s="23">
        <v>-440</v>
      </c>
      <c r="Q13" s="23">
        <v>-351</v>
      </c>
      <c r="R13" s="23">
        <v>-376</v>
      </c>
      <c r="S13" s="23">
        <v>-376</v>
      </c>
      <c r="T13" s="23">
        <v>-467</v>
      </c>
      <c r="U13" s="23">
        <v>-428</v>
      </c>
      <c r="V13" s="23">
        <v>-281</v>
      </c>
      <c r="W13" s="23">
        <v>-217</v>
      </c>
      <c r="X13" s="23">
        <v>-336</v>
      </c>
      <c r="Y13" s="23">
        <v>-415</v>
      </c>
      <c r="Z13" s="23">
        <v>-428</v>
      </c>
      <c r="AA13" s="23">
        <v>-403</v>
      </c>
      <c r="AB13" s="23">
        <v>-467</v>
      </c>
      <c r="AC13" s="23">
        <v>-409</v>
      </c>
      <c r="AD13" s="23">
        <v>-293</v>
      </c>
      <c r="AE13" s="23">
        <v>-245</v>
      </c>
      <c r="AF13" s="23">
        <v>-446</v>
      </c>
      <c r="AG13" s="23">
        <v>-492</v>
      </c>
      <c r="AH13" s="23">
        <v>-367</v>
      </c>
      <c r="AI13" s="23">
        <v>-278</v>
      </c>
      <c r="AJ13" s="23">
        <v>-397</v>
      </c>
      <c r="AK13" s="23">
        <v>-476</v>
      </c>
      <c r="AL13" s="23">
        <v>-522</v>
      </c>
      <c r="AM13" s="23">
        <v>-501</v>
      </c>
      <c r="AN13" s="23">
        <v>-479</v>
      </c>
      <c r="AO13" s="23">
        <v>-330</v>
      </c>
      <c r="AP13" s="23">
        <v>-345</v>
      </c>
      <c r="AQ13" s="23">
        <v>-415</v>
      </c>
      <c r="AR13" s="23">
        <v>-492</v>
      </c>
      <c r="AS13" s="23">
        <v>-391</v>
      </c>
      <c r="AT13" s="23">
        <v>-330</v>
      </c>
      <c r="AU13" s="23">
        <v>-187</v>
      </c>
      <c r="AV13" s="23">
        <v>-284</v>
      </c>
      <c r="AW13" s="23">
        <v>-379</v>
      </c>
      <c r="AX13" s="23">
        <v>-531</v>
      </c>
      <c r="AY13" s="23">
        <v>-595</v>
      </c>
      <c r="AZ13" s="23">
        <v>-376</v>
      </c>
      <c r="BA13" s="23">
        <v>-217</v>
      </c>
      <c r="BB13" s="23">
        <v>-236</v>
      </c>
      <c r="BC13" s="23">
        <v>-312</v>
      </c>
      <c r="BD13" s="23">
        <v>-440</v>
      </c>
      <c r="BE13" s="23">
        <v>-196</v>
      </c>
      <c r="BF13" s="23">
        <v>-159</v>
      </c>
      <c r="BG13" s="23">
        <v>-83</v>
      </c>
      <c r="BH13" s="23">
        <v>-309</v>
      </c>
      <c r="BI13" s="23">
        <v>-449</v>
      </c>
      <c r="BJ13" s="23">
        <v>-546</v>
      </c>
      <c r="BK13" s="23">
        <v>-537</v>
      </c>
      <c r="BL13" s="23">
        <v>-483</v>
      </c>
      <c r="BM13" s="23">
        <v>-427</v>
      </c>
      <c r="BN13" s="23">
        <v>-368</v>
      </c>
      <c r="BO13" s="23">
        <v>-438</v>
      </c>
      <c r="BP13" s="23">
        <v>-461</v>
      </c>
      <c r="BQ13" s="23">
        <v>-372</v>
      </c>
      <c r="BR13" s="23">
        <v>-357</v>
      </c>
      <c r="BS13" s="23">
        <v>-59</v>
      </c>
      <c r="BT13" s="23">
        <v>-224</v>
      </c>
      <c r="BU13" s="23">
        <v>-392</v>
      </c>
      <c r="BV13" s="23">
        <v>-394</v>
      </c>
      <c r="BW13" s="23">
        <v>-367</v>
      </c>
      <c r="BX13" s="23">
        <v>-310</v>
      </c>
      <c r="BY13" s="23">
        <v>-205</v>
      </c>
      <c r="BZ13" s="23">
        <v>-282</v>
      </c>
      <c r="CA13" s="23">
        <v>-330</v>
      </c>
      <c r="CB13" s="23">
        <v>-408</v>
      </c>
      <c r="CC13" s="23">
        <v>-384</v>
      </c>
      <c r="CD13" s="23">
        <v>-253</v>
      </c>
      <c r="CE13" s="23">
        <v>-126</v>
      </c>
      <c r="CF13" s="23">
        <v>-99999</v>
      </c>
      <c r="CG13" s="23">
        <v>-99999</v>
      </c>
      <c r="CH13" s="23">
        <v>-474</v>
      </c>
      <c r="CI13" s="23">
        <v>-346</v>
      </c>
      <c r="CJ13" s="23">
        <v>-341</v>
      </c>
      <c r="CK13" s="23">
        <v>-263</v>
      </c>
      <c r="CL13" s="23">
        <v>-250</v>
      </c>
      <c r="CM13" s="23">
        <v>-300</v>
      </c>
      <c r="CN13" s="23">
        <v>-436</v>
      </c>
      <c r="CO13" s="23">
        <v>-318</v>
      </c>
      <c r="CP13" s="23">
        <v>26</v>
      </c>
      <c r="CQ13" s="23">
        <v>-49</v>
      </c>
      <c r="CR13" s="23">
        <v>-195</v>
      </c>
      <c r="CS13" s="23">
        <v>-388</v>
      </c>
      <c r="CT13" s="23">
        <v>-409</v>
      </c>
      <c r="CU13" s="23">
        <v>-347</v>
      </c>
      <c r="CV13" s="23">
        <v>-299</v>
      </c>
      <c r="CW13" s="23">
        <v>-259</v>
      </c>
      <c r="CX13" s="23">
        <v>-186</v>
      </c>
      <c r="CY13" s="23">
        <v>-278</v>
      </c>
      <c r="CZ13" s="23">
        <v>-335</v>
      </c>
      <c r="DA13" s="23">
        <v>-375</v>
      </c>
      <c r="DB13" s="23">
        <v>-253</v>
      </c>
      <c r="DC13" s="23">
        <v>-202</v>
      </c>
      <c r="DD13" s="23">
        <v>-317</v>
      </c>
      <c r="DE13" s="23">
        <v>-405</v>
      </c>
      <c r="DF13" s="23">
        <v>-444</v>
      </c>
      <c r="DG13" s="23">
        <v>-415</v>
      </c>
      <c r="DH13" s="23">
        <v>-311</v>
      </c>
      <c r="DI13" s="23">
        <v>-333</v>
      </c>
      <c r="DJ13" s="23">
        <v>-239</v>
      </c>
      <c r="DK13" s="23">
        <v>-298</v>
      </c>
      <c r="DL13" s="23">
        <v>-396</v>
      </c>
      <c r="DM13" s="23">
        <v>-373</v>
      </c>
      <c r="DN13" s="23">
        <v>-300</v>
      </c>
      <c r="DO13" s="23">
        <v>-203</v>
      </c>
      <c r="DP13" s="23">
        <v>-244</v>
      </c>
      <c r="DQ13" s="23">
        <v>-446</v>
      </c>
      <c r="DR13" s="23">
        <v>-518</v>
      </c>
      <c r="DS13" s="23">
        <v>-443</v>
      </c>
      <c r="DT13" s="23">
        <v>-415</v>
      </c>
      <c r="DU13" s="23">
        <v>-232</v>
      </c>
      <c r="DV13" s="23">
        <v>-259</v>
      </c>
      <c r="DW13" s="23">
        <v>-364</v>
      </c>
      <c r="DX13" s="23">
        <v>-378</v>
      </c>
      <c r="DY13" s="23">
        <v>-310</v>
      </c>
      <c r="DZ13" s="23">
        <v>-218</v>
      </c>
      <c r="EA13" s="23">
        <v>-135</v>
      </c>
      <c r="EB13" s="23">
        <v>-171</v>
      </c>
      <c r="EC13" s="23">
        <v>-323</v>
      </c>
      <c r="ED13" s="23">
        <v>-446</v>
      </c>
      <c r="EE13" s="23">
        <v>-411</v>
      </c>
      <c r="EF13" s="23">
        <v>-298</v>
      </c>
      <c r="EG13" s="23">
        <v>-235</v>
      </c>
      <c r="EH13" s="23">
        <v>-182</v>
      </c>
      <c r="EI13" s="23">
        <v>-172</v>
      </c>
      <c r="EJ13" s="23">
        <v>-246</v>
      </c>
      <c r="EK13" s="23">
        <v>-211</v>
      </c>
      <c r="EL13" s="23">
        <v>18</v>
      </c>
      <c r="EM13" s="23">
        <v>-51</v>
      </c>
      <c r="EN13" s="23">
        <v>-234</v>
      </c>
      <c r="EO13" s="23">
        <v>-375</v>
      </c>
      <c r="EP13" s="23">
        <v>-460</v>
      </c>
      <c r="EQ13" s="23">
        <v>-363</v>
      </c>
      <c r="ER13" s="23">
        <v>-281</v>
      </c>
      <c r="ES13" s="23">
        <v>-319</v>
      </c>
      <c r="ET13" s="23">
        <v>-252</v>
      </c>
      <c r="EU13" s="23">
        <v>-325</v>
      </c>
      <c r="EV13" s="23">
        <v>-258</v>
      </c>
      <c r="EW13" s="23">
        <v>-323</v>
      </c>
      <c r="EX13" s="23">
        <v>-84</v>
      </c>
      <c r="EY13" s="23">
        <v>-77</v>
      </c>
      <c r="EZ13" s="23">
        <v>-184</v>
      </c>
      <c r="FA13" s="23">
        <v>-369</v>
      </c>
      <c r="FB13" s="23">
        <v>-325</v>
      </c>
      <c r="FC13" s="23">
        <v>-346</v>
      </c>
      <c r="FD13" s="23">
        <v>-278</v>
      </c>
      <c r="FE13" s="23">
        <v>-296</v>
      </c>
      <c r="FF13" s="23">
        <v>-145</v>
      </c>
      <c r="FG13" s="23">
        <v>-234</v>
      </c>
      <c r="FH13" s="23">
        <v>-330</v>
      </c>
      <c r="FI13" s="23">
        <v>-312</v>
      </c>
      <c r="FJ13" s="23">
        <v>-139</v>
      </c>
      <c r="FK13" s="23">
        <v>-183</v>
      </c>
      <c r="FL13" s="23">
        <v>-186</v>
      </c>
      <c r="FM13" s="23">
        <v>-352</v>
      </c>
      <c r="FN13" s="23">
        <v>-284</v>
      </c>
      <c r="FO13" s="23">
        <v>-192</v>
      </c>
      <c r="FP13" s="23">
        <v>-300</v>
      </c>
      <c r="FQ13" s="23">
        <v>-329</v>
      </c>
      <c r="FR13" s="23">
        <v>-244</v>
      </c>
      <c r="FS13" s="23">
        <v>-185</v>
      </c>
      <c r="FT13" s="23">
        <v>-229</v>
      </c>
      <c r="FU13" s="23">
        <v>-320</v>
      </c>
      <c r="FV13" s="23">
        <v>-113</v>
      </c>
      <c r="FW13" s="23">
        <v>-127</v>
      </c>
      <c r="FX13" s="23">
        <v>-334</v>
      </c>
      <c r="FY13" s="23">
        <v>-415</v>
      </c>
      <c r="FZ13" s="23">
        <v>-522</v>
      </c>
      <c r="GA13" s="23">
        <v>-455</v>
      </c>
      <c r="GB13" s="23">
        <v>-306</v>
      </c>
      <c r="GC13" s="23">
        <v>-307</v>
      </c>
      <c r="GD13" s="23">
        <v>-298</v>
      </c>
      <c r="GE13" s="23">
        <v>-333</v>
      </c>
      <c r="GF13" s="23">
        <v>-332</v>
      </c>
      <c r="GG13" s="23">
        <v>-323</v>
      </c>
      <c r="GH13" s="23">
        <v>-241</v>
      </c>
      <c r="GI13" s="23">
        <v>-148</v>
      </c>
      <c r="GJ13" s="23">
        <v>-288</v>
      </c>
      <c r="GK13" s="23">
        <v>-361</v>
      </c>
      <c r="GL13" s="23">
        <v>-349</v>
      </c>
      <c r="GM13" s="23">
        <v>-412</v>
      </c>
      <c r="GN13" s="23">
        <v>-293</v>
      </c>
      <c r="GO13" s="23">
        <v>-188</v>
      </c>
      <c r="GP13" s="23">
        <v>-121</v>
      </c>
      <c r="GQ13" s="23">
        <v>-197</v>
      </c>
      <c r="GR13" s="23">
        <v>-171</v>
      </c>
      <c r="GS13" s="23">
        <v>-165</v>
      </c>
      <c r="GT13" s="23">
        <v>-92</v>
      </c>
      <c r="GU13" s="23">
        <v>-35</v>
      </c>
      <c r="GV13" s="23">
        <v>-220</v>
      </c>
      <c r="GW13" s="23">
        <v>-336</v>
      </c>
      <c r="GX13" s="23">
        <v>-285</v>
      </c>
      <c r="GY13" s="23">
        <v>-333</v>
      </c>
      <c r="GZ13" s="23">
        <v>-362</v>
      </c>
      <c r="HA13" s="23">
        <v>-221</v>
      </c>
      <c r="HB13" s="23">
        <v>-180</v>
      </c>
      <c r="HC13" s="23">
        <v>-240</v>
      </c>
      <c r="HD13" s="23">
        <v>-232</v>
      </c>
      <c r="HE13" s="23">
        <v>-358</v>
      </c>
      <c r="HF13" s="23">
        <v>-37</v>
      </c>
      <c r="HG13" s="23">
        <v>-75</v>
      </c>
      <c r="HH13" s="23">
        <v>-215</v>
      </c>
      <c r="HI13" s="23">
        <v>-369</v>
      </c>
      <c r="HJ13" s="23">
        <v>-456</v>
      </c>
      <c r="HK13" s="23">
        <v>-368</v>
      </c>
      <c r="HL13" s="23">
        <v>-310</v>
      </c>
      <c r="HM13" s="23">
        <v>-292</v>
      </c>
      <c r="HN13" s="23">
        <v>-219</v>
      </c>
      <c r="HO13" s="23">
        <v>-290</v>
      </c>
      <c r="HP13" s="23">
        <v>-361</v>
      </c>
      <c r="HQ13" s="23">
        <v>-281</v>
      </c>
      <c r="HR13" s="23">
        <v>-157</v>
      </c>
      <c r="HS13" s="23">
        <v>-103</v>
      </c>
      <c r="HT13" s="23">
        <v>-93</v>
      </c>
      <c r="HU13" s="23">
        <v>-219</v>
      </c>
      <c r="HV13" s="23">
        <v>-348</v>
      </c>
      <c r="HW13" s="23">
        <v>-285</v>
      </c>
      <c r="HX13" s="23">
        <v>-411</v>
      </c>
      <c r="HY13" s="23">
        <v>-257</v>
      </c>
      <c r="HZ13" s="23">
        <v>-170</v>
      </c>
      <c r="IA13" s="23">
        <v>-215</v>
      </c>
      <c r="IB13" s="23">
        <v>-35</v>
      </c>
      <c r="IC13" s="23">
        <v>-239</v>
      </c>
      <c r="ID13" s="23">
        <v>36</v>
      </c>
      <c r="IE13" s="23">
        <v>-194</v>
      </c>
      <c r="IF13" s="23">
        <v>-237</v>
      </c>
      <c r="IG13" s="23">
        <v>-380</v>
      </c>
      <c r="IH13" s="23">
        <v>-381</v>
      </c>
      <c r="II13" s="23">
        <v>-461</v>
      </c>
      <c r="IJ13" s="23">
        <v>-289</v>
      </c>
      <c r="IK13" s="23">
        <v>-236</v>
      </c>
      <c r="IL13" s="23">
        <v>-173</v>
      </c>
      <c r="IM13" s="23">
        <v>-235</v>
      </c>
      <c r="IN13" s="23">
        <v>-274</v>
      </c>
      <c r="IO13" s="23">
        <v>-308</v>
      </c>
      <c r="IP13" s="23">
        <v>-274</v>
      </c>
      <c r="IQ13" s="23">
        <v>-225</v>
      </c>
      <c r="IR13" s="23">
        <v>-244</v>
      </c>
      <c r="IS13" s="23">
        <v>-267</v>
      </c>
      <c r="IT13" s="23">
        <v>-416</v>
      </c>
      <c r="IU13" s="23">
        <v>-308</v>
      </c>
      <c r="IV13" s="23">
        <v>-219</v>
      </c>
      <c r="IW13" s="23">
        <v>-167</v>
      </c>
      <c r="IX13" s="23">
        <v>-207</v>
      </c>
      <c r="IY13" s="23">
        <v>-139</v>
      </c>
      <c r="IZ13" s="23">
        <v>-197</v>
      </c>
      <c r="JA13" s="23">
        <v>-219</v>
      </c>
      <c r="JB13" s="23">
        <v>-170</v>
      </c>
      <c r="JC13" s="23">
        <v>-208</v>
      </c>
      <c r="JD13" s="23">
        <v>-211</v>
      </c>
      <c r="JE13" s="23">
        <v>-307</v>
      </c>
      <c r="JF13" s="23">
        <v>-351</v>
      </c>
      <c r="JG13" s="23">
        <v>-312</v>
      </c>
      <c r="JH13" s="23">
        <v>-328</v>
      </c>
      <c r="JI13" s="23">
        <v>-176</v>
      </c>
      <c r="JJ13" s="23">
        <v>-205</v>
      </c>
      <c r="JK13" s="23">
        <v>-225</v>
      </c>
      <c r="JL13" s="23">
        <v>-233</v>
      </c>
      <c r="JM13" s="23">
        <v>-234</v>
      </c>
      <c r="JN13" s="23">
        <v>-61</v>
      </c>
      <c r="JO13" s="23">
        <v>-50</v>
      </c>
      <c r="JP13" s="23">
        <v>-80</v>
      </c>
      <c r="JQ13" s="23">
        <v>-293</v>
      </c>
      <c r="JR13" s="23">
        <v>-390</v>
      </c>
      <c r="JS13" s="23">
        <v>-344</v>
      </c>
      <c r="JT13" s="23">
        <v>-308</v>
      </c>
      <c r="JU13" s="23">
        <v>-223</v>
      </c>
      <c r="JV13" s="23">
        <v>-202</v>
      </c>
      <c r="JW13" s="23">
        <v>-174</v>
      </c>
      <c r="JX13" s="23">
        <v>-340</v>
      </c>
      <c r="JY13" s="23">
        <v>-280</v>
      </c>
      <c r="JZ13" s="23">
        <v>-77</v>
      </c>
      <c r="KA13" s="23">
        <v>-124</v>
      </c>
      <c r="KB13" s="23">
        <v>-185</v>
      </c>
      <c r="KC13" s="23">
        <v>-217</v>
      </c>
      <c r="KD13" s="23">
        <v>-355</v>
      </c>
      <c r="KE13" s="23">
        <v>-320</v>
      </c>
      <c r="KF13" s="23">
        <v>-317</v>
      </c>
      <c r="KG13" s="23">
        <v>-184</v>
      </c>
      <c r="KH13" s="23">
        <v>-24</v>
      </c>
      <c r="KI13" s="23">
        <v>-122</v>
      </c>
      <c r="KJ13" s="23">
        <v>-264</v>
      </c>
      <c r="KK13" s="23">
        <v>-210</v>
      </c>
      <c r="KL13" s="23">
        <v>-82</v>
      </c>
      <c r="KM13" s="23">
        <v>30</v>
      </c>
      <c r="KN13" s="23" t="s">
        <v>22</v>
      </c>
      <c r="KO13" s="23">
        <v>0</v>
      </c>
    </row>
    <row r="14" spans="1:301">
      <c r="A14" s="22">
        <v>4</v>
      </c>
      <c r="B14" s="23">
        <v>-447</v>
      </c>
      <c r="C14" s="23">
        <v>-548</v>
      </c>
      <c r="D14" s="23">
        <v>-487</v>
      </c>
      <c r="E14" s="23">
        <v>-289</v>
      </c>
      <c r="F14" s="23">
        <v>-197</v>
      </c>
      <c r="G14" s="23">
        <v>-362</v>
      </c>
      <c r="H14" s="23">
        <v>-523</v>
      </c>
      <c r="I14" s="23">
        <v>-508</v>
      </c>
      <c r="J14" s="23">
        <v>-267</v>
      </c>
      <c r="K14" s="23">
        <v>-310</v>
      </c>
      <c r="L14" s="23">
        <v>-401</v>
      </c>
      <c r="M14" s="23">
        <v>-435</v>
      </c>
      <c r="N14" s="23">
        <v>-456</v>
      </c>
      <c r="O14" s="23">
        <v>-462</v>
      </c>
      <c r="P14" s="23">
        <v>-514</v>
      </c>
      <c r="Q14" s="23">
        <v>-438</v>
      </c>
      <c r="R14" s="23">
        <v>-484</v>
      </c>
      <c r="S14" s="23">
        <v>-493</v>
      </c>
      <c r="T14" s="23">
        <v>-539</v>
      </c>
      <c r="U14" s="23">
        <v>-468</v>
      </c>
      <c r="V14" s="23">
        <v>-310</v>
      </c>
      <c r="W14" s="23">
        <v>-276</v>
      </c>
      <c r="X14" s="23">
        <v>-404</v>
      </c>
      <c r="Y14" s="23">
        <v>-450</v>
      </c>
      <c r="Z14" s="23">
        <v>-456</v>
      </c>
      <c r="AA14" s="23">
        <v>-465</v>
      </c>
      <c r="AB14" s="23">
        <v>-551</v>
      </c>
      <c r="AC14" s="23">
        <v>-493</v>
      </c>
      <c r="AD14" s="23">
        <v>-407</v>
      </c>
      <c r="AE14" s="23">
        <v>-368</v>
      </c>
      <c r="AF14" s="23">
        <v>-566</v>
      </c>
      <c r="AG14" s="23">
        <v>-572</v>
      </c>
      <c r="AH14" s="23">
        <v>-423</v>
      </c>
      <c r="AI14" s="23">
        <v>-350</v>
      </c>
      <c r="AJ14" s="23">
        <v>-444</v>
      </c>
      <c r="AK14" s="23">
        <v>-545</v>
      </c>
      <c r="AL14" s="23">
        <v>-578</v>
      </c>
      <c r="AM14" s="23">
        <v>-548</v>
      </c>
      <c r="AN14" s="23">
        <v>-563</v>
      </c>
      <c r="AO14" s="23">
        <v>-404</v>
      </c>
      <c r="AP14" s="23">
        <v>-447</v>
      </c>
      <c r="AQ14" s="23">
        <v>-499</v>
      </c>
      <c r="AR14" s="23">
        <v>-557</v>
      </c>
      <c r="AS14" s="23">
        <v>-453</v>
      </c>
      <c r="AT14" s="23">
        <v>-377</v>
      </c>
      <c r="AU14" s="23">
        <v>-99999</v>
      </c>
      <c r="AV14" s="23">
        <v>-99999</v>
      </c>
      <c r="AW14" s="23">
        <v>-99999</v>
      </c>
      <c r="AX14" s="23">
        <v>-99999</v>
      </c>
      <c r="AY14" s="23">
        <v>-99999</v>
      </c>
      <c r="AZ14" s="23">
        <v>-99999</v>
      </c>
      <c r="BA14" s="23">
        <v>-313</v>
      </c>
      <c r="BB14" s="23">
        <v>-334</v>
      </c>
      <c r="BC14" s="23">
        <v>-414</v>
      </c>
      <c r="BD14" s="23">
        <v>-481</v>
      </c>
      <c r="BE14" s="23">
        <v>-246</v>
      </c>
      <c r="BF14" s="23">
        <v>-200</v>
      </c>
      <c r="BG14" s="23">
        <v>-173</v>
      </c>
      <c r="BH14" s="23">
        <v>-401</v>
      </c>
      <c r="BI14" s="23">
        <v>-511</v>
      </c>
      <c r="BJ14" s="23">
        <v>-627</v>
      </c>
      <c r="BK14" s="23">
        <v>-605</v>
      </c>
      <c r="BL14" s="23">
        <v>-571</v>
      </c>
      <c r="BM14" s="23">
        <v>-509</v>
      </c>
      <c r="BN14" s="23">
        <v>-467</v>
      </c>
      <c r="BO14" s="23">
        <v>-551</v>
      </c>
      <c r="BP14" s="23">
        <v>-545</v>
      </c>
      <c r="BQ14" s="23">
        <v>-447</v>
      </c>
      <c r="BR14" s="23">
        <v>-411</v>
      </c>
      <c r="BS14" s="23">
        <v>-116</v>
      </c>
      <c r="BT14" s="23">
        <v>-288</v>
      </c>
      <c r="BU14" s="23">
        <v>-461</v>
      </c>
      <c r="BV14" s="23">
        <v>-462</v>
      </c>
      <c r="BW14" s="23">
        <v>-420</v>
      </c>
      <c r="BX14" s="23">
        <v>-408</v>
      </c>
      <c r="BY14" s="23">
        <v>-303</v>
      </c>
      <c r="BZ14" s="23">
        <v>-393</v>
      </c>
      <c r="CA14" s="23">
        <v>-453</v>
      </c>
      <c r="CB14" s="23">
        <v>-522</v>
      </c>
      <c r="CC14" s="23">
        <v>-475</v>
      </c>
      <c r="CD14" s="23">
        <v>-343</v>
      </c>
      <c r="CE14" s="23">
        <v>-272</v>
      </c>
      <c r="CF14" s="23">
        <v>-478</v>
      </c>
      <c r="CG14" s="23">
        <v>-645</v>
      </c>
      <c r="CH14" s="23">
        <v>-559</v>
      </c>
      <c r="CI14" s="23">
        <v>-465</v>
      </c>
      <c r="CJ14" s="23">
        <v>-472</v>
      </c>
      <c r="CK14" s="23">
        <v>-386</v>
      </c>
      <c r="CL14" s="23">
        <v>-380</v>
      </c>
      <c r="CM14" s="23">
        <v>-423</v>
      </c>
      <c r="CN14" s="23">
        <v>-551</v>
      </c>
      <c r="CO14" s="23">
        <v>-400</v>
      </c>
      <c r="CP14" s="23">
        <v>-26</v>
      </c>
      <c r="CQ14" s="23">
        <v>-189</v>
      </c>
      <c r="CR14" s="23">
        <v>-347</v>
      </c>
      <c r="CS14" s="23">
        <v>-493</v>
      </c>
      <c r="CT14" s="23">
        <v>-516</v>
      </c>
      <c r="CU14" s="23">
        <v>-460</v>
      </c>
      <c r="CV14" s="23">
        <v>-420</v>
      </c>
      <c r="CW14" s="23">
        <v>-395</v>
      </c>
      <c r="CX14" s="23">
        <v>-337</v>
      </c>
      <c r="CY14" s="23">
        <v>-392</v>
      </c>
      <c r="CZ14" s="23">
        <v>-439</v>
      </c>
      <c r="DA14" s="23">
        <v>-499</v>
      </c>
      <c r="DB14" s="23">
        <v>-334</v>
      </c>
      <c r="DC14" s="23">
        <v>-323</v>
      </c>
      <c r="DD14" s="23">
        <v>-458</v>
      </c>
      <c r="DE14" s="23">
        <v>-553</v>
      </c>
      <c r="DF14" s="23">
        <v>-594</v>
      </c>
      <c r="DG14" s="23">
        <v>-581</v>
      </c>
      <c r="DH14" s="23">
        <v>-489</v>
      </c>
      <c r="DI14" s="23">
        <v>-496</v>
      </c>
      <c r="DJ14" s="23">
        <v>-404</v>
      </c>
      <c r="DK14" s="23">
        <v>-438</v>
      </c>
      <c r="DL14" s="23">
        <v>-539</v>
      </c>
      <c r="DM14" s="23">
        <v>-517</v>
      </c>
      <c r="DN14" s="23">
        <v>-402</v>
      </c>
      <c r="DO14" s="23">
        <v>-325</v>
      </c>
      <c r="DP14" s="23">
        <v>-389</v>
      </c>
      <c r="DQ14" s="23">
        <v>-590</v>
      </c>
      <c r="DR14" s="23">
        <v>-665</v>
      </c>
      <c r="DS14" s="23">
        <v>-601</v>
      </c>
      <c r="DT14" s="23">
        <v>-579</v>
      </c>
      <c r="DU14" s="23">
        <v>-417</v>
      </c>
      <c r="DV14" s="23">
        <v>-449</v>
      </c>
      <c r="DW14" s="23">
        <v>-496</v>
      </c>
      <c r="DX14" s="23">
        <v>-519</v>
      </c>
      <c r="DY14" s="23">
        <v>-447</v>
      </c>
      <c r="DZ14" s="23">
        <v>-359</v>
      </c>
      <c r="EA14" s="23">
        <v>-274</v>
      </c>
      <c r="EB14" s="23">
        <v>-350</v>
      </c>
      <c r="EC14" s="23">
        <v>-466</v>
      </c>
      <c r="ED14" s="23">
        <v>-580</v>
      </c>
      <c r="EE14" s="23">
        <v>-550</v>
      </c>
      <c r="EF14" s="23">
        <v>-427</v>
      </c>
      <c r="EG14" s="23">
        <v>-390</v>
      </c>
      <c r="EH14" s="23">
        <v>-336</v>
      </c>
      <c r="EI14" s="23">
        <v>-342</v>
      </c>
      <c r="EJ14" s="23">
        <v>-465</v>
      </c>
      <c r="EK14" s="23">
        <v>-349</v>
      </c>
      <c r="EL14" s="23">
        <v>-120</v>
      </c>
      <c r="EM14" s="23">
        <v>-231</v>
      </c>
      <c r="EN14" s="23">
        <v>-444</v>
      </c>
      <c r="EO14" s="23">
        <v>-552</v>
      </c>
      <c r="EP14" s="23">
        <v>-636</v>
      </c>
      <c r="EQ14" s="23">
        <v>-533</v>
      </c>
      <c r="ER14" s="23">
        <v>-464</v>
      </c>
      <c r="ES14" s="23">
        <v>-495</v>
      </c>
      <c r="ET14" s="23">
        <v>-441</v>
      </c>
      <c r="EU14" s="23">
        <v>-482</v>
      </c>
      <c r="EV14" s="23">
        <v>-420</v>
      </c>
      <c r="EW14" s="23">
        <v>-455</v>
      </c>
      <c r="EX14" s="23">
        <v>-234</v>
      </c>
      <c r="EY14" s="23">
        <v>-252</v>
      </c>
      <c r="EZ14" s="23">
        <v>-340</v>
      </c>
      <c r="FA14" s="23">
        <v>-500</v>
      </c>
      <c r="FB14" s="23">
        <v>-484</v>
      </c>
      <c r="FC14" s="23">
        <v>-476</v>
      </c>
      <c r="FD14" s="23">
        <v>-431</v>
      </c>
      <c r="FE14" s="23">
        <v>-476</v>
      </c>
      <c r="FF14" s="23">
        <v>-340</v>
      </c>
      <c r="FG14" s="23">
        <v>-400</v>
      </c>
      <c r="FH14" s="23">
        <v>-487</v>
      </c>
      <c r="FI14" s="23">
        <v>-452</v>
      </c>
      <c r="FJ14" s="23">
        <v>-272</v>
      </c>
      <c r="FK14" s="23">
        <v>-339</v>
      </c>
      <c r="FL14" s="23">
        <v>-322</v>
      </c>
      <c r="FM14" s="23">
        <v>-500</v>
      </c>
      <c r="FN14" s="23">
        <v>-429</v>
      </c>
      <c r="FO14" s="23">
        <v>-326</v>
      </c>
      <c r="FP14" s="23">
        <v>-488</v>
      </c>
      <c r="FQ14" s="23">
        <v>-480</v>
      </c>
      <c r="FR14" s="23">
        <v>-403</v>
      </c>
      <c r="FS14" s="23">
        <v>-333</v>
      </c>
      <c r="FT14" s="23">
        <v>-382</v>
      </c>
      <c r="FU14" s="23">
        <v>-432</v>
      </c>
      <c r="FV14" s="23">
        <v>-240</v>
      </c>
      <c r="FW14" s="23">
        <v>-286</v>
      </c>
      <c r="FX14" s="23">
        <v>-493</v>
      </c>
      <c r="FY14" s="23">
        <v>-561</v>
      </c>
      <c r="FZ14" s="23">
        <v>-672</v>
      </c>
      <c r="GA14" s="23">
        <v>-586</v>
      </c>
      <c r="GB14" s="23">
        <v>-458</v>
      </c>
      <c r="GC14" s="23">
        <v>-473</v>
      </c>
      <c r="GD14" s="23">
        <v>-478</v>
      </c>
      <c r="GE14" s="23">
        <v>-492</v>
      </c>
      <c r="GF14" s="23">
        <v>-501</v>
      </c>
      <c r="GG14" s="23">
        <v>-471</v>
      </c>
      <c r="GH14" s="23">
        <v>-370</v>
      </c>
      <c r="GI14" s="23">
        <v>-278</v>
      </c>
      <c r="GJ14" s="23">
        <v>-422</v>
      </c>
      <c r="GK14" s="23">
        <v>-511</v>
      </c>
      <c r="GL14" s="23">
        <v>-474</v>
      </c>
      <c r="GM14" s="23">
        <v>-548</v>
      </c>
      <c r="GN14" s="23">
        <v>-458</v>
      </c>
      <c r="GO14" s="23">
        <v>-364</v>
      </c>
      <c r="GP14" s="23">
        <v>-275</v>
      </c>
      <c r="GQ14" s="23">
        <v>-347</v>
      </c>
      <c r="GR14" s="23">
        <v>-415</v>
      </c>
      <c r="GS14" s="23">
        <v>-344</v>
      </c>
      <c r="GT14" s="23">
        <v>-251</v>
      </c>
      <c r="GU14" s="23">
        <v>-201</v>
      </c>
      <c r="GV14" s="23">
        <v>-378</v>
      </c>
      <c r="GW14" s="23">
        <v>-501</v>
      </c>
      <c r="GX14" s="23">
        <v>-428</v>
      </c>
      <c r="GY14" s="23">
        <v>-509</v>
      </c>
      <c r="GZ14" s="23" t="s">
        <v>22</v>
      </c>
      <c r="HA14" s="23" t="s">
        <v>22</v>
      </c>
      <c r="HB14" s="23" t="s">
        <v>22</v>
      </c>
      <c r="HC14" s="23" t="s">
        <v>22</v>
      </c>
      <c r="HD14" s="23" t="s">
        <v>22</v>
      </c>
      <c r="HE14" s="23" t="s">
        <v>22</v>
      </c>
      <c r="HF14" s="23" t="s">
        <v>22</v>
      </c>
      <c r="HG14" s="23" t="s">
        <v>22</v>
      </c>
      <c r="HH14" s="23" t="s">
        <v>22</v>
      </c>
      <c r="HI14" s="23" t="s">
        <v>22</v>
      </c>
      <c r="HJ14" s="23" t="s">
        <v>22</v>
      </c>
      <c r="HK14" s="23" t="s">
        <v>22</v>
      </c>
      <c r="HL14" s="23" t="s">
        <v>22</v>
      </c>
      <c r="HM14" s="23" t="s">
        <v>22</v>
      </c>
      <c r="HN14" s="23" t="s">
        <v>22</v>
      </c>
      <c r="HO14" s="23" t="s">
        <v>22</v>
      </c>
      <c r="HP14" s="23" t="s">
        <v>22</v>
      </c>
      <c r="HQ14" s="23" t="s">
        <v>22</v>
      </c>
      <c r="HR14" s="23" t="s">
        <v>22</v>
      </c>
      <c r="HS14" s="23" t="s">
        <v>22</v>
      </c>
      <c r="HT14" s="23" t="s">
        <v>22</v>
      </c>
      <c r="HU14" s="23" t="s">
        <v>22</v>
      </c>
      <c r="HV14" s="23" t="s">
        <v>22</v>
      </c>
      <c r="HW14" s="23" t="s">
        <v>22</v>
      </c>
      <c r="HX14" s="23" t="s">
        <v>22</v>
      </c>
      <c r="HY14" s="23" t="s">
        <v>22</v>
      </c>
      <c r="HZ14" s="23" t="s">
        <v>22</v>
      </c>
      <c r="IA14" s="23" t="s">
        <v>22</v>
      </c>
      <c r="IB14" s="23" t="s">
        <v>22</v>
      </c>
      <c r="IC14" s="23" t="s">
        <v>22</v>
      </c>
      <c r="ID14" s="23" t="s">
        <v>22</v>
      </c>
      <c r="IE14" s="23" t="s">
        <v>22</v>
      </c>
      <c r="IF14" s="23" t="s">
        <v>22</v>
      </c>
      <c r="IG14" s="23" t="s">
        <v>22</v>
      </c>
      <c r="IH14" s="23" t="s">
        <v>22</v>
      </c>
      <c r="II14" s="23" t="s">
        <v>22</v>
      </c>
      <c r="IJ14" s="23" t="s">
        <v>22</v>
      </c>
      <c r="IK14" s="23" t="s">
        <v>22</v>
      </c>
      <c r="IL14" s="23" t="s">
        <v>22</v>
      </c>
      <c r="IM14" s="23" t="s">
        <v>22</v>
      </c>
      <c r="IN14" s="23" t="s">
        <v>22</v>
      </c>
      <c r="IO14" s="23" t="s">
        <v>22</v>
      </c>
      <c r="IP14" s="23" t="s">
        <v>22</v>
      </c>
      <c r="IQ14" s="23" t="s">
        <v>22</v>
      </c>
      <c r="IR14" s="23" t="s">
        <v>22</v>
      </c>
      <c r="IS14" s="23" t="s">
        <v>22</v>
      </c>
      <c r="IT14" s="23" t="s">
        <v>22</v>
      </c>
      <c r="IU14" s="23" t="s">
        <v>22</v>
      </c>
      <c r="IV14" s="23" t="s">
        <v>22</v>
      </c>
      <c r="IW14" s="23" t="s">
        <v>22</v>
      </c>
      <c r="IX14" s="23" t="s">
        <v>22</v>
      </c>
      <c r="IY14" s="23" t="s">
        <v>22</v>
      </c>
      <c r="IZ14" s="23" t="s">
        <v>22</v>
      </c>
      <c r="JA14" s="23" t="s">
        <v>22</v>
      </c>
      <c r="JB14" s="23" t="s">
        <v>22</v>
      </c>
      <c r="JC14" s="23" t="s">
        <v>22</v>
      </c>
      <c r="JD14" s="23" t="s">
        <v>22</v>
      </c>
      <c r="JE14" s="23" t="s">
        <v>22</v>
      </c>
      <c r="JF14" s="23" t="s">
        <v>22</v>
      </c>
      <c r="JG14" s="23" t="s">
        <v>22</v>
      </c>
      <c r="JH14" s="23" t="s">
        <v>22</v>
      </c>
      <c r="JI14" s="23" t="s">
        <v>22</v>
      </c>
      <c r="JJ14" s="23" t="s">
        <v>22</v>
      </c>
      <c r="JK14" s="23" t="s">
        <v>22</v>
      </c>
      <c r="JL14" s="23" t="s">
        <v>22</v>
      </c>
      <c r="JM14" s="23" t="s">
        <v>22</v>
      </c>
      <c r="JN14" s="23" t="s">
        <v>22</v>
      </c>
      <c r="JO14" s="23" t="s">
        <v>22</v>
      </c>
      <c r="JP14" s="23" t="s">
        <v>22</v>
      </c>
      <c r="JQ14" s="23" t="s">
        <v>22</v>
      </c>
      <c r="JR14" s="23" t="s">
        <v>22</v>
      </c>
      <c r="JS14" s="23" t="s">
        <v>22</v>
      </c>
      <c r="JT14" s="23" t="s">
        <v>22</v>
      </c>
      <c r="JU14" s="23" t="s">
        <v>22</v>
      </c>
      <c r="JV14" s="23" t="s">
        <v>22</v>
      </c>
      <c r="JW14" s="23" t="s">
        <v>22</v>
      </c>
      <c r="JX14" s="23" t="s">
        <v>22</v>
      </c>
      <c r="JY14" s="23" t="s">
        <v>22</v>
      </c>
      <c r="JZ14" s="23" t="s">
        <v>22</v>
      </c>
      <c r="KA14" s="23" t="s">
        <v>22</v>
      </c>
      <c r="KB14" s="23" t="s">
        <v>22</v>
      </c>
      <c r="KC14" s="23" t="s">
        <v>22</v>
      </c>
      <c r="KD14" s="23" t="s">
        <v>22</v>
      </c>
      <c r="KE14" s="23" t="s">
        <v>22</v>
      </c>
      <c r="KF14" s="23" t="s">
        <v>22</v>
      </c>
      <c r="KG14" s="23" t="s">
        <v>22</v>
      </c>
      <c r="KH14" s="23" t="s">
        <v>22</v>
      </c>
      <c r="KI14" s="23" t="s">
        <v>22</v>
      </c>
      <c r="KJ14" s="23" t="s">
        <v>22</v>
      </c>
      <c r="KK14" s="23" t="s">
        <v>22</v>
      </c>
      <c r="KL14" s="23" t="s">
        <v>22</v>
      </c>
      <c r="KM14" s="23" t="s">
        <v>22</v>
      </c>
      <c r="KN14" s="23" t="s">
        <v>22</v>
      </c>
      <c r="KO14" s="23">
        <v>0</v>
      </c>
    </row>
    <row r="15" spans="1:301">
      <c r="A15" s="22">
        <v>5</v>
      </c>
      <c r="B15" s="23">
        <v>-483</v>
      </c>
      <c r="C15" s="23">
        <v>-587</v>
      </c>
      <c r="D15" s="23">
        <v>-495</v>
      </c>
      <c r="E15" s="23">
        <v>-318</v>
      </c>
      <c r="F15" s="23">
        <v>-209</v>
      </c>
      <c r="G15" s="23">
        <v>-364</v>
      </c>
      <c r="H15" s="23">
        <v>-507</v>
      </c>
      <c r="I15" s="23">
        <v>-483</v>
      </c>
      <c r="J15" s="23">
        <v>-251</v>
      </c>
      <c r="K15" s="23">
        <v>-279</v>
      </c>
      <c r="L15" s="23">
        <v>-413</v>
      </c>
      <c r="M15" s="23">
        <v>-446</v>
      </c>
      <c r="N15" s="23">
        <v>-498</v>
      </c>
      <c r="O15" s="23">
        <v>-486</v>
      </c>
      <c r="P15" s="23">
        <v>-513</v>
      </c>
      <c r="Q15" s="23">
        <v>-425</v>
      </c>
      <c r="R15" s="23">
        <v>-458</v>
      </c>
      <c r="S15" s="23">
        <v>-477</v>
      </c>
      <c r="T15" s="23">
        <v>-486</v>
      </c>
      <c r="U15" s="23">
        <v>-437</v>
      </c>
      <c r="V15" s="23">
        <v>-273</v>
      </c>
      <c r="W15" s="23">
        <v>-245</v>
      </c>
      <c r="X15" s="23">
        <v>-379</v>
      </c>
      <c r="Y15" s="23">
        <v>-428</v>
      </c>
      <c r="Z15" s="23">
        <v>-462</v>
      </c>
      <c r="AA15" s="23">
        <v>-471</v>
      </c>
      <c r="AB15" s="23">
        <v>-559</v>
      </c>
      <c r="AC15" s="23">
        <v>-486</v>
      </c>
      <c r="AD15" s="23">
        <v>-367</v>
      </c>
      <c r="AE15" s="23">
        <v>-300</v>
      </c>
      <c r="AF15" s="23">
        <v>-513</v>
      </c>
      <c r="AG15" s="23">
        <v>-526</v>
      </c>
      <c r="AH15" s="23">
        <v>-364</v>
      </c>
      <c r="AI15" s="23">
        <v>-315</v>
      </c>
      <c r="AJ15" s="23">
        <v>-443</v>
      </c>
      <c r="AK15" s="23">
        <v>-538</v>
      </c>
      <c r="AL15" s="23">
        <v>-580</v>
      </c>
      <c r="AM15" s="23">
        <v>-544</v>
      </c>
      <c r="AN15" s="23">
        <v>-541</v>
      </c>
      <c r="AO15" s="23">
        <v>-376</v>
      </c>
      <c r="AP15" s="23">
        <v>-431</v>
      </c>
      <c r="AQ15" s="23">
        <v>-474</v>
      </c>
      <c r="AR15" s="23">
        <v>-532</v>
      </c>
      <c r="AS15" s="23">
        <v>-413</v>
      </c>
      <c r="AT15" s="23">
        <v>-330</v>
      </c>
      <c r="AU15" s="23">
        <v>-245</v>
      </c>
      <c r="AV15" s="23">
        <v>-367</v>
      </c>
      <c r="AW15" s="23">
        <v>-474</v>
      </c>
      <c r="AX15" s="23">
        <v>-647</v>
      </c>
      <c r="AY15" s="23">
        <v>-672</v>
      </c>
      <c r="AZ15" s="23">
        <v>-99999</v>
      </c>
      <c r="BA15" s="23">
        <v>-321</v>
      </c>
      <c r="BB15" s="23">
        <v>-346</v>
      </c>
      <c r="BC15" s="23">
        <v>-425</v>
      </c>
      <c r="BD15" s="23">
        <v>-486</v>
      </c>
      <c r="BE15" s="23">
        <v>-257</v>
      </c>
      <c r="BF15" s="23">
        <v>-199</v>
      </c>
      <c r="BG15" s="23">
        <v>-193</v>
      </c>
      <c r="BH15" s="23">
        <v>-419</v>
      </c>
      <c r="BI15" s="23">
        <v>-544</v>
      </c>
      <c r="BJ15" s="23">
        <v>-662</v>
      </c>
      <c r="BK15" s="23">
        <v>-636</v>
      </c>
      <c r="BL15" s="23">
        <v>-601</v>
      </c>
      <c r="BM15" s="23">
        <v>-517</v>
      </c>
      <c r="BN15" s="23">
        <v>-452</v>
      </c>
      <c r="BO15" s="23">
        <v>-532</v>
      </c>
      <c r="BP15" s="23">
        <v>-534</v>
      </c>
      <c r="BQ15" s="23">
        <v>-427</v>
      </c>
      <c r="BR15" s="23">
        <v>-414</v>
      </c>
      <c r="BS15" s="23">
        <v>-139</v>
      </c>
      <c r="BT15" s="23">
        <v>-304</v>
      </c>
      <c r="BU15" s="23">
        <v>-482</v>
      </c>
      <c r="BV15" s="23">
        <v>-484</v>
      </c>
      <c r="BW15" s="23">
        <v>-440</v>
      </c>
      <c r="BX15" s="23">
        <v>-430</v>
      </c>
      <c r="BY15" s="23">
        <v>-324</v>
      </c>
      <c r="BZ15" s="23">
        <v>-401</v>
      </c>
      <c r="CA15" s="23">
        <v>-449</v>
      </c>
      <c r="CB15" s="23">
        <v>-517</v>
      </c>
      <c r="CC15" s="23">
        <v>-462</v>
      </c>
      <c r="CD15" s="23">
        <v>-327</v>
      </c>
      <c r="CE15" s="23">
        <v>-284</v>
      </c>
      <c r="CF15" s="23">
        <v>-505</v>
      </c>
      <c r="CG15" s="23">
        <v>-670</v>
      </c>
      <c r="CH15" s="23">
        <v>-570</v>
      </c>
      <c r="CI15" s="23">
        <v>-474</v>
      </c>
      <c r="CJ15" s="23">
        <v>-465</v>
      </c>
      <c r="CK15" s="23">
        <v>-375</v>
      </c>
      <c r="CL15" s="23">
        <v>-354</v>
      </c>
      <c r="CM15" s="23">
        <v>-378</v>
      </c>
      <c r="CN15" s="23">
        <v>-523</v>
      </c>
      <c r="CO15" s="23">
        <v>-370</v>
      </c>
      <c r="CP15" s="23">
        <v>-15</v>
      </c>
      <c r="CQ15" s="23">
        <v>-192</v>
      </c>
      <c r="CR15" s="23">
        <v>-362</v>
      </c>
      <c r="CS15" s="23">
        <v>-508</v>
      </c>
      <c r="CT15" s="23">
        <v>-545</v>
      </c>
      <c r="CU15" s="23">
        <v>-473</v>
      </c>
      <c r="CV15" s="23">
        <v>-409</v>
      </c>
      <c r="CW15" s="23">
        <v>-383</v>
      </c>
      <c r="CX15" s="23">
        <v>-317</v>
      </c>
      <c r="CY15" s="23">
        <v>-364</v>
      </c>
      <c r="CZ15" s="23">
        <v>-412</v>
      </c>
      <c r="DA15" s="23">
        <v>-482</v>
      </c>
      <c r="DB15" s="23">
        <v>-304</v>
      </c>
      <c r="DC15" s="23">
        <v>-285</v>
      </c>
      <c r="DD15" s="23">
        <v>-418</v>
      </c>
      <c r="DE15" s="23">
        <v>-514</v>
      </c>
      <c r="DF15" s="23">
        <v>-558</v>
      </c>
      <c r="DG15" s="23">
        <v>-544</v>
      </c>
      <c r="DH15" s="23">
        <v>-442</v>
      </c>
      <c r="DI15" s="23">
        <v>-452</v>
      </c>
      <c r="DJ15" s="23">
        <v>-347</v>
      </c>
      <c r="DK15" s="23">
        <v>-388</v>
      </c>
      <c r="DL15" s="23">
        <v>-495</v>
      </c>
      <c r="DM15" s="23">
        <v>-474</v>
      </c>
      <c r="DN15" s="23">
        <v>-354</v>
      </c>
      <c r="DO15" s="23">
        <v>-282</v>
      </c>
      <c r="DP15" s="23">
        <v>-362</v>
      </c>
      <c r="DQ15" s="23">
        <v>-577</v>
      </c>
      <c r="DR15" s="23">
        <v>-644</v>
      </c>
      <c r="DS15" s="23">
        <v>-565</v>
      </c>
      <c r="DT15" s="23">
        <v>-532</v>
      </c>
      <c r="DU15" s="23">
        <v>-358</v>
      </c>
      <c r="DV15" s="23">
        <v>-401</v>
      </c>
      <c r="DW15" s="23">
        <v>-428</v>
      </c>
      <c r="DX15" s="23">
        <v>-463</v>
      </c>
      <c r="DY15" s="23">
        <v>-400</v>
      </c>
      <c r="DZ15" s="23">
        <v>-317</v>
      </c>
      <c r="EA15" s="23">
        <v>-247</v>
      </c>
      <c r="EB15" s="23">
        <v>-328</v>
      </c>
      <c r="EC15" s="23">
        <v>-459</v>
      </c>
      <c r="ED15" s="23">
        <v>-579</v>
      </c>
      <c r="EE15" s="23">
        <v>-540</v>
      </c>
      <c r="EF15" s="23">
        <v>-402</v>
      </c>
      <c r="EG15" s="23">
        <v>-347</v>
      </c>
      <c r="EH15" s="23">
        <v>-273</v>
      </c>
      <c r="EI15" s="23">
        <v>-280</v>
      </c>
      <c r="EJ15" s="23">
        <v>-415</v>
      </c>
      <c r="EK15" s="23">
        <v>-298</v>
      </c>
      <c r="EL15" s="23">
        <v>-92</v>
      </c>
      <c r="EM15" s="23">
        <v>-209</v>
      </c>
      <c r="EN15" s="23">
        <v>-433</v>
      </c>
      <c r="EO15" s="23">
        <v>-540</v>
      </c>
      <c r="EP15" s="23">
        <v>-609</v>
      </c>
      <c r="EQ15" s="23">
        <v>-505</v>
      </c>
      <c r="ER15" s="23">
        <v>-423</v>
      </c>
      <c r="ES15" s="23">
        <v>-437</v>
      </c>
      <c r="ET15" s="23">
        <v>-384</v>
      </c>
      <c r="EU15" s="23">
        <v>-414</v>
      </c>
      <c r="EV15" s="23">
        <v>-361</v>
      </c>
      <c r="EW15" s="23">
        <v>-396</v>
      </c>
      <c r="EX15" s="23">
        <v>-183</v>
      </c>
      <c r="EY15" s="23">
        <v>-212</v>
      </c>
      <c r="EZ15" s="23">
        <v>-305</v>
      </c>
      <c r="FA15" s="23">
        <v>-472</v>
      </c>
      <c r="FB15" s="23">
        <v>-465</v>
      </c>
      <c r="FC15" s="23">
        <v>-464</v>
      </c>
      <c r="FD15" s="23">
        <v>-404</v>
      </c>
      <c r="FE15" s="23">
        <v>-439</v>
      </c>
      <c r="FF15" s="23">
        <v>-297</v>
      </c>
      <c r="FG15" s="23">
        <v>-355</v>
      </c>
      <c r="FH15" s="23">
        <v>-453</v>
      </c>
      <c r="FI15" s="23">
        <v>-413</v>
      </c>
      <c r="FJ15" s="23">
        <v>-236</v>
      </c>
      <c r="FK15" s="23">
        <v>-304</v>
      </c>
      <c r="FL15" s="23">
        <v>-302</v>
      </c>
      <c r="FM15" s="23">
        <v>-500</v>
      </c>
      <c r="FN15" s="23">
        <v>-414</v>
      </c>
      <c r="FO15" s="23">
        <v>-311</v>
      </c>
      <c r="FP15" s="23">
        <v>-479</v>
      </c>
      <c r="FQ15" s="23">
        <v>-468</v>
      </c>
      <c r="FR15" s="23">
        <v>-368</v>
      </c>
      <c r="FS15" s="23">
        <v>-292</v>
      </c>
      <c r="FT15" s="23">
        <v>-348</v>
      </c>
      <c r="FU15" s="23">
        <v>-388</v>
      </c>
      <c r="FV15" s="23">
        <v>-203</v>
      </c>
      <c r="FW15" s="23">
        <v>-268</v>
      </c>
      <c r="FX15" s="23">
        <v>-480</v>
      </c>
      <c r="FY15" s="23">
        <v>-556</v>
      </c>
      <c r="FZ15" s="23">
        <v>-660</v>
      </c>
      <c r="GA15" s="23">
        <v>-567</v>
      </c>
      <c r="GB15" s="23">
        <v>-432</v>
      </c>
      <c r="GC15" s="23">
        <v>-445</v>
      </c>
      <c r="GD15" s="23">
        <v>-442</v>
      </c>
      <c r="GE15" s="23">
        <v>-452</v>
      </c>
      <c r="GF15" s="23">
        <v>-457</v>
      </c>
      <c r="GG15" s="23">
        <v>-431</v>
      </c>
      <c r="GH15" s="23">
        <v>-327</v>
      </c>
      <c r="GI15" s="23">
        <v>-255</v>
      </c>
      <c r="GJ15" s="23">
        <v>-418</v>
      </c>
      <c r="GK15" s="23">
        <v>-506</v>
      </c>
      <c r="GL15" s="23">
        <v>-472</v>
      </c>
      <c r="GM15" s="23">
        <v>-542</v>
      </c>
      <c r="GN15" s="23">
        <v>-444</v>
      </c>
      <c r="GO15" s="23">
        <v>-367</v>
      </c>
      <c r="GP15" s="23">
        <v>-256</v>
      </c>
      <c r="GQ15" s="23">
        <v>-332</v>
      </c>
      <c r="GR15" s="23">
        <v>-407</v>
      </c>
      <c r="GS15" s="23">
        <v>-320</v>
      </c>
      <c r="GT15" s="23">
        <v>-219</v>
      </c>
      <c r="GU15" s="23">
        <v>-106</v>
      </c>
      <c r="GV15" s="23">
        <v>-341</v>
      </c>
      <c r="GW15" s="23">
        <v>-467</v>
      </c>
      <c r="GX15" s="23">
        <v>-401</v>
      </c>
      <c r="GY15" s="23">
        <v>-468</v>
      </c>
      <c r="GZ15" s="23">
        <v>-472</v>
      </c>
      <c r="HA15" s="23">
        <v>-359</v>
      </c>
      <c r="HB15" s="23">
        <v>-291</v>
      </c>
      <c r="HC15" s="23">
        <v>-319</v>
      </c>
      <c r="HD15" s="23">
        <v>-332</v>
      </c>
      <c r="HE15" s="23">
        <v>-450</v>
      </c>
      <c r="HF15" s="23">
        <v>-76</v>
      </c>
      <c r="HG15" s="23">
        <v>-214</v>
      </c>
      <c r="HH15" s="23">
        <v>-372</v>
      </c>
      <c r="HI15" s="23">
        <v>-523</v>
      </c>
      <c r="HJ15" s="23">
        <v>-610</v>
      </c>
      <c r="HK15" s="23">
        <v>-508</v>
      </c>
      <c r="HL15" s="23">
        <v>-457</v>
      </c>
      <c r="HM15" s="23">
        <v>-443</v>
      </c>
      <c r="HN15" s="23">
        <v>-348</v>
      </c>
      <c r="HO15" s="23">
        <v>-419</v>
      </c>
      <c r="HP15" s="23">
        <v>-473</v>
      </c>
      <c r="HQ15" s="23">
        <v>-358</v>
      </c>
      <c r="HR15" s="23">
        <v>-231</v>
      </c>
      <c r="HS15" s="23">
        <v>-216</v>
      </c>
      <c r="HT15" s="23">
        <v>-235</v>
      </c>
      <c r="HU15" s="23">
        <v>-357</v>
      </c>
      <c r="HV15" s="23">
        <v>-504</v>
      </c>
      <c r="HW15" s="23">
        <v>-471</v>
      </c>
      <c r="HX15" s="23">
        <v>-594</v>
      </c>
      <c r="HY15" s="23">
        <v>-398</v>
      </c>
      <c r="HZ15" s="23">
        <v>-327</v>
      </c>
      <c r="IA15" s="23">
        <v>-318</v>
      </c>
      <c r="IB15" s="23">
        <v>-190</v>
      </c>
      <c r="IC15" s="23">
        <v>-337</v>
      </c>
      <c r="ID15" s="23">
        <v>-102</v>
      </c>
      <c r="IE15" s="23">
        <v>-341</v>
      </c>
      <c r="IF15" s="23">
        <v>-368</v>
      </c>
      <c r="IG15" s="23">
        <v>-535</v>
      </c>
      <c r="IH15" s="23">
        <v>-585</v>
      </c>
      <c r="II15" s="23">
        <v>-632</v>
      </c>
      <c r="IJ15" s="23">
        <v>-460</v>
      </c>
      <c r="IK15" s="23">
        <v>-371</v>
      </c>
      <c r="IL15" s="23">
        <v>-317</v>
      </c>
      <c r="IM15" s="23">
        <v>-358</v>
      </c>
      <c r="IN15" s="23" t="s">
        <v>22</v>
      </c>
      <c r="IO15" s="23" t="s">
        <v>22</v>
      </c>
      <c r="IP15" s="23" t="s">
        <v>22</v>
      </c>
      <c r="IQ15" s="23" t="s">
        <v>22</v>
      </c>
      <c r="IR15" s="23" t="s">
        <v>22</v>
      </c>
      <c r="IS15" s="23" t="s">
        <v>22</v>
      </c>
      <c r="IT15" s="23" t="s">
        <v>22</v>
      </c>
      <c r="IU15" s="23" t="s">
        <v>22</v>
      </c>
      <c r="IV15" s="23" t="s">
        <v>22</v>
      </c>
      <c r="IW15" s="23" t="s">
        <v>22</v>
      </c>
      <c r="IX15" s="23" t="s">
        <v>22</v>
      </c>
      <c r="IY15" s="23" t="s">
        <v>22</v>
      </c>
      <c r="IZ15" s="23" t="s">
        <v>22</v>
      </c>
      <c r="JA15" s="23" t="s">
        <v>22</v>
      </c>
      <c r="JB15" s="23" t="s">
        <v>22</v>
      </c>
      <c r="JC15" s="23" t="s">
        <v>22</v>
      </c>
      <c r="JD15" s="23" t="s">
        <v>22</v>
      </c>
      <c r="JE15" s="23" t="s">
        <v>22</v>
      </c>
      <c r="JF15" s="23" t="s">
        <v>22</v>
      </c>
      <c r="JG15" s="23" t="s">
        <v>22</v>
      </c>
      <c r="JH15" s="23" t="s">
        <v>22</v>
      </c>
      <c r="JI15" s="23" t="s">
        <v>22</v>
      </c>
      <c r="JJ15" s="23" t="s">
        <v>22</v>
      </c>
      <c r="JK15" s="23" t="s">
        <v>22</v>
      </c>
      <c r="JL15" s="23" t="s">
        <v>22</v>
      </c>
      <c r="JM15" s="23" t="s">
        <v>22</v>
      </c>
      <c r="JN15" s="23" t="s">
        <v>22</v>
      </c>
      <c r="JO15" s="23" t="s">
        <v>22</v>
      </c>
      <c r="JP15" s="23" t="s">
        <v>22</v>
      </c>
      <c r="JQ15" s="23" t="s">
        <v>22</v>
      </c>
      <c r="JR15" s="23" t="s">
        <v>22</v>
      </c>
      <c r="JS15" s="23" t="s">
        <v>22</v>
      </c>
      <c r="JT15" s="23" t="s">
        <v>22</v>
      </c>
      <c r="JU15" s="23" t="s">
        <v>22</v>
      </c>
      <c r="JV15" s="23" t="s">
        <v>22</v>
      </c>
      <c r="JW15" s="23" t="s">
        <v>22</v>
      </c>
      <c r="JX15" s="23" t="s">
        <v>22</v>
      </c>
      <c r="JY15" s="23" t="s">
        <v>22</v>
      </c>
      <c r="JZ15" s="23" t="s">
        <v>22</v>
      </c>
      <c r="KA15" s="23" t="s">
        <v>22</v>
      </c>
      <c r="KB15" s="23" t="s">
        <v>22</v>
      </c>
      <c r="KC15" s="23" t="s">
        <v>22</v>
      </c>
      <c r="KD15" s="23" t="s">
        <v>22</v>
      </c>
      <c r="KE15" s="23" t="s">
        <v>22</v>
      </c>
      <c r="KF15" s="23" t="s">
        <v>22</v>
      </c>
      <c r="KG15" s="23" t="s">
        <v>22</v>
      </c>
      <c r="KH15" s="23" t="s">
        <v>22</v>
      </c>
      <c r="KI15" s="23" t="s">
        <v>22</v>
      </c>
      <c r="KJ15" s="23" t="s">
        <v>22</v>
      </c>
      <c r="KK15" s="23" t="s">
        <v>22</v>
      </c>
      <c r="KL15" s="23" t="s">
        <v>22</v>
      </c>
      <c r="KM15" s="23" t="s">
        <v>22</v>
      </c>
      <c r="KN15" s="23" t="s">
        <v>22</v>
      </c>
      <c r="KO15" s="23">
        <v>0</v>
      </c>
    </row>
    <row r="16" spans="1:301">
      <c r="A16" s="22">
        <v>6</v>
      </c>
      <c r="B16" s="23">
        <v>-250</v>
      </c>
      <c r="C16" s="23">
        <v>-360</v>
      </c>
      <c r="D16" s="23">
        <v>-284</v>
      </c>
      <c r="E16" s="23">
        <v>-113</v>
      </c>
      <c r="F16" s="23">
        <v>-15</v>
      </c>
      <c r="G16" s="23">
        <v>-186</v>
      </c>
      <c r="H16" s="23">
        <v>-339</v>
      </c>
      <c r="I16" s="23">
        <v>-326</v>
      </c>
      <c r="J16" s="23">
        <v>-107</v>
      </c>
      <c r="K16" s="23">
        <v>-128</v>
      </c>
      <c r="L16" s="23">
        <v>-226</v>
      </c>
      <c r="M16" s="23">
        <v>-229</v>
      </c>
      <c r="N16" s="23">
        <v>-272</v>
      </c>
      <c r="O16" s="23">
        <v>-287</v>
      </c>
      <c r="P16" s="23">
        <v>-314</v>
      </c>
      <c r="Q16" s="23">
        <v>-238</v>
      </c>
      <c r="R16" s="23">
        <v>-275</v>
      </c>
      <c r="S16" s="23">
        <v>-305</v>
      </c>
      <c r="T16" s="23">
        <v>-339</v>
      </c>
      <c r="U16" s="23">
        <v>-272</v>
      </c>
      <c r="V16" s="23">
        <v>-113</v>
      </c>
      <c r="W16" s="23">
        <v>-92</v>
      </c>
      <c r="X16" s="23">
        <v>-229</v>
      </c>
      <c r="Y16" s="23">
        <v>-250</v>
      </c>
      <c r="Z16" s="23">
        <v>-235</v>
      </c>
      <c r="AA16" s="23">
        <v>-265</v>
      </c>
      <c r="AB16" s="23">
        <v>-354</v>
      </c>
      <c r="AC16" s="23">
        <v>-281</v>
      </c>
      <c r="AD16" s="23">
        <v>-186</v>
      </c>
      <c r="AE16" s="23">
        <v>-150</v>
      </c>
      <c r="AF16" s="23">
        <v>-351</v>
      </c>
      <c r="AG16" s="23">
        <v>-351</v>
      </c>
      <c r="AH16" s="23">
        <v>-204</v>
      </c>
      <c r="AI16" s="23">
        <v>-162</v>
      </c>
      <c r="AJ16" s="23">
        <v>-256</v>
      </c>
      <c r="AK16" s="23">
        <v>-342</v>
      </c>
      <c r="AL16" s="23">
        <v>-387</v>
      </c>
      <c r="AM16" s="23">
        <v>-342</v>
      </c>
      <c r="AN16" s="23">
        <v>-323</v>
      </c>
      <c r="AO16" s="23">
        <v>-168</v>
      </c>
      <c r="AP16" s="23">
        <v>-238</v>
      </c>
      <c r="AQ16" s="23">
        <v>-299</v>
      </c>
      <c r="AR16" s="23">
        <v>-348</v>
      </c>
      <c r="AS16" s="23">
        <v>-229</v>
      </c>
      <c r="AT16" s="23">
        <v>-147</v>
      </c>
      <c r="AU16" s="23">
        <v>-55</v>
      </c>
      <c r="AV16" s="23">
        <v>-177</v>
      </c>
      <c r="AW16" s="23">
        <v>-268</v>
      </c>
      <c r="AX16" s="23">
        <v>-427</v>
      </c>
      <c r="AY16" s="23">
        <v>-464</v>
      </c>
      <c r="AZ16" s="23">
        <v>-232</v>
      </c>
      <c r="BA16" s="23">
        <v>-119</v>
      </c>
      <c r="BB16" s="23">
        <v>-150</v>
      </c>
      <c r="BC16" s="23">
        <v>-229</v>
      </c>
      <c r="BD16" s="23">
        <v>-296</v>
      </c>
      <c r="BE16" s="23">
        <v>-76</v>
      </c>
      <c r="BF16" s="23">
        <v>-31</v>
      </c>
      <c r="BG16" s="23">
        <v>-19</v>
      </c>
      <c r="BH16" s="23">
        <v>-238</v>
      </c>
      <c r="BI16" s="23">
        <v>-351</v>
      </c>
      <c r="BJ16" s="23">
        <v>-468</v>
      </c>
      <c r="BK16" s="23">
        <v>-447</v>
      </c>
      <c r="BL16" s="23">
        <v>-416</v>
      </c>
      <c r="BM16" s="23">
        <v>-344</v>
      </c>
      <c r="BN16" s="23">
        <v>-284</v>
      </c>
      <c r="BO16" s="23">
        <v>-358</v>
      </c>
      <c r="BP16" s="23">
        <v>-365</v>
      </c>
      <c r="BQ16" s="23">
        <v>-260</v>
      </c>
      <c r="BR16" s="23">
        <v>-234</v>
      </c>
      <c r="BS16" s="23">
        <v>44</v>
      </c>
      <c r="BT16" s="23">
        <v>-122</v>
      </c>
      <c r="BU16" s="23">
        <v>-295</v>
      </c>
      <c r="BV16" s="23">
        <v>-295</v>
      </c>
      <c r="BW16" s="23">
        <v>-242</v>
      </c>
      <c r="BX16" s="23">
        <v>-215</v>
      </c>
      <c r="BY16" s="23">
        <v>-113</v>
      </c>
      <c r="BZ16" s="23">
        <v>-204</v>
      </c>
      <c r="CA16" s="23">
        <v>-253</v>
      </c>
      <c r="CB16" s="23">
        <v>-334</v>
      </c>
      <c r="CC16" s="23">
        <v>-285</v>
      </c>
      <c r="CD16" s="23">
        <v>-156</v>
      </c>
      <c r="CE16" s="23">
        <v>-105</v>
      </c>
      <c r="CF16" s="23">
        <v>-315</v>
      </c>
      <c r="CG16" s="23">
        <v>-475</v>
      </c>
      <c r="CH16" s="23">
        <v>-358</v>
      </c>
      <c r="CI16" s="23">
        <v>-274</v>
      </c>
      <c r="CJ16" s="23">
        <v>-282</v>
      </c>
      <c r="CK16" s="23">
        <v>-200</v>
      </c>
      <c r="CL16" s="23">
        <v>-191</v>
      </c>
      <c r="CM16" s="23">
        <v>-216</v>
      </c>
      <c r="CN16" s="23">
        <v>-367</v>
      </c>
      <c r="CO16" s="23">
        <v>-215</v>
      </c>
      <c r="CP16" s="23">
        <v>150</v>
      </c>
      <c r="CQ16" s="23">
        <v>-8</v>
      </c>
      <c r="CR16" s="23">
        <v>-162</v>
      </c>
      <c r="CS16" s="23">
        <v>-309</v>
      </c>
      <c r="CT16" s="23">
        <v>-332</v>
      </c>
      <c r="CU16" s="23">
        <v>-269</v>
      </c>
      <c r="CV16" s="23">
        <v>-232</v>
      </c>
      <c r="CW16" s="23">
        <v>-212</v>
      </c>
      <c r="CX16" s="23">
        <v>-155</v>
      </c>
      <c r="CY16" s="23">
        <v>-201</v>
      </c>
      <c r="CZ16" s="23">
        <v>-245</v>
      </c>
      <c r="DA16" s="23">
        <v>-316</v>
      </c>
      <c r="DB16" s="23">
        <v>-141</v>
      </c>
      <c r="DC16" s="23">
        <v>-124</v>
      </c>
      <c r="DD16" s="23">
        <v>-258</v>
      </c>
      <c r="DE16" s="23">
        <v>-352</v>
      </c>
      <c r="DF16" s="23">
        <v>-393</v>
      </c>
      <c r="DG16" s="23">
        <v>-372</v>
      </c>
      <c r="DH16" s="23">
        <v>-283</v>
      </c>
      <c r="DI16" s="23">
        <v>-278</v>
      </c>
      <c r="DJ16" s="23">
        <v>-176</v>
      </c>
      <c r="DK16" s="23">
        <v>-219</v>
      </c>
      <c r="DL16" s="23">
        <v>-331</v>
      </c>
      <c r="DM16" s="23">
        <v>-310</v>
      </c>
      <c r="DN16" s="23">
        <v>-187</v>
      </c>
      <c r="DO16" s="23">
        <v>-117</v>
      </c>
      <c r="DP16" s="23">
        <v>-185</v>
      </c>
      <c r="DQ16" s="23">
        <v>-389</v>
      </c>
      <c r="DR16" s="23">
        <v>-448</v>
      </c>
      <c r="DS16" s="23">
        <v>-373</v>
      </c>
      <c r="DT16" s="23">
        <v>-322</v>
      </c>
      <c r="DU16" s="23">
        <v>-165</v>
      </c>
      <c r="DV16" s="23">
        <v>-212</v>
      </c>
      <c r="DW16" s="23">
        <v>-229</v>
      </c>
      <c r="DX16" s="23">
        <v>-281</v>
      </c>
      <c r="DY16" s="23">
        <v>-219</v>
      </c>
      <c r="DZ16" s="23">
        <v>-117</v>
      </c>
      <c r="EA16" s="23">
        <v>-50</v>
      </c>
      <c r="EB16" s="23">
        <v>-132</v>
      </c>
      <c r="EC16" s="23">
        <v>-255</v>
      </c>
      <c r="ED16" s="23">
        <v>-385</v>
      </c>
      <c r="EE16" s="23">
        <v>-360</v>
      </c>
      <c r="EF16" s="23">
        <v>-231</v>
      </c>
      <c r="EG16" s="23">
        <v>-170</v>
      </c>
      <c r="EH16" s="23">
        <v>-114</v>
      </c>
      <c r="EI16" s="23">
        <v>-121</v>
      </c>
      <c r="EJ16" s="23">
        <v>-246</v>
      </c>
      <c r="EK16" s="23">
        <v>-134</v>
      </c>
      <c r="EL16" s="23">
        <v>76</v>
      </c>
      <c r="EM16" s="23">
        <v>-33</v>
      </c>
      <c r="EN16" s="23">
        <v>-241</v>
      </c>
      <c r="EO16" s="23">
        <v>-354</v>
      </c>
      <c r="EP16" s="23">
        <v>-427</v>
      </c>
      <c r="EQ16" s="23">
        <v>-321</v>
      </c>
      <c r="ER16" s="23">
        <v>-235</v>
      </c>
      <c r="ES16" s="23">
        <v>-267</v>
      </c>
      <c r="ET16" s="23">
        <v>-214</v>
      </c>
      <c r="EU16" s="23">
        <v>-249</v>
      </c>
      <c r="EV16" s="23">
        <v>-198</v>
      </c>
      <c r="EW16" s="23">
        <v>-230</v>
      </c>
      <c r="EX16" s="23">
        <v>-13</v>
      </c>
      <c r="EY16" s="23">
        <v>-40</v>
      </c>
      <c r="EZ16" s="23">
        <v>-134</v>
      </c>
      <c r="FA16" s="23">
        <v>-300</v>
      </c>
      <c r="FB16" s="23">
        <v>-284</v>
      </c>
      <c r="FC16" s="23">
        <v>-267</v>
      </c>
      <c r="FD16" s="23">
        <v>-216</v>
      </c>
      <c r="FE16" s="23">
        <v>-269</v>
      </c>
      <c r="FF16" s="23">
        <v>-116</v>
      </c>
      <c r="FG16" s="23">
        <v>-168</v>
      </c>
      <c r="FH16" s="23">
        <v>-266</v>
      </c>
      <c r="FI16" s="23">
        <v>-237</v>
      </c>
      <c r="FJ16" s="23">
        <v>-69</v>
      </c>
      <c r="FK16" s="23">
        <v>-141</v>
      </c>
      <c r="FL16" s="23">
        <v>-118</v>
      </c>
      <c r="FM16" s="23">
        <v>-309</v>
      </c>
      <c r="FN16" s="23">
        <v>-227</v>
      </c>
      <c r="FO16" s="23">
        <v>-121</v>
      </c>
      <c r="FP16" s="23">
        <v>-295</v>
      </c>
      <c r="FQ16" s="23">
        <v>-296</v>
      </c>
      <c r="FR16" s="23">
        <v>-214</v>
      </c>
      <c r="FS16" s="23">
        <v>-137</v>
      </c>
      <c r="FT16" s="23">
        <v>-196</v>
      </c>
      <c r="FU16" s="23">
        <v>-234</v>
      </c>
      <c r="FV16" s="23">
        <v>-45</v>
      </c>
      <c r="FW16" s="23">
        <v>-103</v>
      </c>
      <c r="FX16" s="23">
        <v>-312</v>
      </c>
      <c r="FY16" s="23">
        <v>-375</v>
      </c>
      <c r="FZ16" s="23">
        <v>-483</v>
      </c>
      <c r="GA16" s="23">
        <v>-395</v>
      </c>
      <c r="GB16" s="23">
        <v>-259</v>
      </c>
      <c r="GC16" s="23">
        <v>-277</v>
      </c>
      <c r="GD16" s="23">
        <v>-281</v>
      </c>
      <c r="GE16" s="23">
        <v>-288</v>
      </c>
      <c r="GF16" s="23">
        <v>-288</v>
      </c>
      <c r="GG16" s="23">
        <v>-269</v>
      </c>
      <c r="GH16" s="23">
        <v>-172</v>
      </c>
      <c r="GI16" s="23">
        <v>-92</v>
      </c>
      <c r="GJ16" s="23">
        <v>-251</v>
      </c>
      <c r="GK16" s="23">
        <v>-342</v>
      </c>
      <c r="GL16" s="23">
        <v>-286</v>
      </c>
      <c r="GM16" s="23">
        <v>-360</v>
      </c>
      <c r="GN16" s="23">
        <v>-260</v>
      </c>
      <c r="GO16" s="23">
        <v>-171</v>
      </c>
      <c r="GP16" s="23">
        <v>-67</v>
      </c>
      <c r="GQ16" s="23">
        <v>-148</v>
      </c>
      <c r="GR16" s="23">
        <v>-206</v>
      </c>
      <c r="GS16" s="23">
        <v>-140</v>
      </c>
      <c r="GT16" s="23">
        <v>-49</v>
      </c>
      <c r="GU16" s="23">
        <v>-13</v>
      </c>
      <c r="GV16" s="23">
        <v>-193</v>
      </c>
      <c r="GW16" s="23">
        <v>-316</v>
      </c>
      <c r="GX16" s="23">
        <v>-243</v>
      </c>
      <c r="GY16" s="23">
        <v>-314</v>
      </c>
      <c r="GZ16" s="23">
        <v>-315</v>
      </c>
      <c r="HA16" s="23">
        <v>-191</v>
      </c>
      <c r="HB16" s="23">
        <v>-124</v>
      </c>
      <c r="HC16" s="23">
        <v>-168</v>
      </c>
      <c r="HD16" s="23">
        <v>-182</v>
      </c>
      <c r="HE16" s="23">
        <v>-296</v>
      </c>
      <c r="HF16" s="23">
        <v>-99999</v>
      </c>
      <c r="HG16" s="23">
        <v>-35</v>
      </c>
      <c r="HH16" s="23">
        <v>-187</v>
      </c>
      <c r="HI16" s="23">
        <v>-332</v>
      </c>
      <c r="HJ16" s="23">
        <v>-425</v>
      </c>
      <c r="HK16" s="23">
        <v>-317</v>
      </c>
      <c r="HL16" s="23">
        <v>-273</v>
      </c>
      <c r="HM16" s="23">
        <v>-247</v>
      </c>
      <c r="HN16" s="23">
        <v>-139</v>
      </c>
      <c r="HO16" s="23">
        <v>-171</v>
      </c>
      <c r="HP16" s="23">
        <v>-212</v>
      </c>
      <c r="HQ16" s="23">
        <v>-114</v>
      </c>
      <c r="HR16" s="23">
        <v>14</v>
      </c>
      <c r="HS16" s="23">
        <v>28</v>
      </c>
      <c r="HT16" s="23">
        <v>-17</v>
      </c>
      <c r="HU16" s="23">
        <v>-137</v>
      </c>
      <c r="HV16" s="23">
        <v>-284</v>
      </c>
      <c r="HW16" s="23">
        <v>-249</v>
      </c>
      <c r="HX16" s="23">
        <v>-370</v>
      </c>
      <c r="HY16" s="23">
        <v>-185</v>
      </c>
      <c r="HZ16" s="23">
        <v>-126</v>
      </c>
      <c r="IA16" s="23">
        <v>-114</v>
      </c>
      <c r="IB16" s="23">
        <v>8</v>
      </c>
      <c r="IC16" s="23">
        <v>-132</v>
      </c>
      <c r="ID16" s="23">
        <v>91</v>
      </c>
      <c r="IE16" s="23">
        <v>-148</v>
      </c>
      <c r="IF16" s="23">
        <v>-173</v>
      </c>
      <c r="IG16" s="23">
        <v>-341</v>
      </c>
      <c r="IH16" s="23">
        <v>-369</v>
      </c>
      <c r="II16" s="23">
        <v>-415</v>
      </c>
      <c r="IJ16" s="23">
        <v>-251</v>
      </c>
      <c r="IK16" s="23">
        <v>-177</v>
      </c>
      <c r="IL16" s="23">
        <v>-128</v>
      </c>
      <c r="IM16" s="23">
        <v>-171</v>
      </c>
      <c r="IN16" s="23">
        <v>-203</v>
      </c>
      <c r="IO16" s="23">
        <v>-245</v>
      </c>
      <c r="IP16" s="23">
        <v>-198</v>
      </c>
      <c r="IQ16" s="23">
        <v>-131</v>
      </c>
      <c r="IR16" s="23">
        <v>-178</v>
      </c>
      <c r="IS16" s="23">
        <v>-186</v>
      </c>
      <c r="IT16" s="23">
        <v>-327</v>
      </c>
      <c r="IU16" s="23">
        <v>-208</v>
      </c>
      <c r="IV16" s="23">
        <v>-138</v>
      </c>
      <c r="IW16" s="23">
        <v>-101</v>
      </c>
      <c r="IX16" s="23">
        <v>-139</v>
      </c>
      <c r="IY16" s="23">
        <v>-39</v>
      </c>
      <c r="IZ16" s="23">
        <v>-141</v>
      </c>
      <c r="JA16" s="23">
        <v>-152</v>
      </c>
      <c r="JB16" s="23">
        <v>-79</v>
      </c>
      <c r="JC16" s="23">
        <v>-127</v>
      </c>
      <c r="JD16" s="23">
        <v>-142</v>
      </c>
      <c r="JE16" s="23">
        <v>-259</v>
      </c>
      <c r="JF16" s="23">
        <v>-274</v>
      </c>
      <c r="JG16" s="23">
        <v>-239</v>
      </c>
      <c r="JH16" s="23">
        <v>-261</v>
      </c>
      <c r="JI16" s="23">
        <v>-114</v>
      </c>
      <c r="JJ16" s="23">
        <v>-143</v>
      </c>
      <c r="JK16" s="23">
        <v>-197</v>
      </c>
      <c r="JL16" s="23">
        <v>-155</v>
      </c>
      <c r="JM16" s="23">
        <v>-140</v>
      </c>
      <c r="JN16" s="23">
        <v>3</v>
      </c>
      <c r="JO16" s="23">
        <v>2</v>
      </c>
      <c r="JP16" s="23">
        <v>-28</v>
      </c>
      <c r="JQ16" s="23">
        <v>-234</v>
      </c>
      <c r="JR16" s="23">
        <v>-331</v>
      </c>
      <c r="JS16" s="23">
        <v>-283</v>
      </c>
      <c r="JT16" s="23">
        <v>-239</v>
      </c>
      <c r="JU16" s="23">
        <v>-170</v>
      </c>
      <c r="JV16" s="23">
        <v>-131</v>
      </c>
      <c r="JW16" s="23">
        <v>-95</v>
      </c>
      <c r="JX16" s="23">
        <v>-246</v>
      </c>
      <c r="JY16" s="23">
        <v>-163</v>
      </c>
      <c r="JZ16" s="23">
        <v>25</v>
      </c>
      <c r="KA16" s="23">
        <v>-71</v>
      </c>
      <c r="KB16" s="23">
        <v>-139</v>
      </c>
      <c r="KC16" s="23">
        <v>-159</v>
      </c>
      <c r="KD16" s="23">
        <v>-285</v>
      </c>
      <c r="KE16" s="23">
        <v>-244</v>
      </c>
      <c r="KF16" s="23">
        <v>-265</v>
      </c>
      <c r="KG16" s="23">
        <v>-121</v>
      </c>
      <c r="KH16" s="23">
        <v>-1</v>
      </c>
      <c r="KI16" s="23">
        <v>-86</v>
      </c>
      <c r="KJ16" s="23">
        <v>-183</v>
      </c>
      <c r="KK16" s="23">
        <v>-114</v>
      </c>
      <c r="KL16" s="23">
        <v>21</v>
      </c>
      <c r="KM16" s="23">
        <v>95</v>
      </c>
      <c r="KN16" s="23">
        <v>109</v>
      </c>
      <c r="KO16" s="23">
        <v>0</v>
      </c>
    </row>
    <row r="17" spans="1:301">
      <c r="A17" s="22">
        <v>7</v>
      </c>
      <c r="B17" s="23" t="s">
        <v>22</v>
      </c>
      <c r="C17" s="23" t="s">
        <v>22</v>
      </c>
      <c r="D17" s="23" t="s">
        <v>22</v>
      </c>
      <c r="E17" s="23" t="s">
        <v>22</v>
      </c>
      <c r="F17" s="23" t="s">
        <v>22</v>
      </c>
      <c r="G17" s="23" t="s">
        <v>22</v>
      </c>
      <c r="H17" s="23" t="s">
        <v>22</v>
      </c>
      <c r="I17" s="23" t="s">
        <v>22</v>
      </c>
      <c r="J17" s="23" t="s">
        <v>22</v>
      </c>
      <c r="K17" s="23" t="s">
        <v>22</v>
      </c>
      <c r="L17" s="23" t="s">
        <v>22</v>
      </c>
      <c r="M17" s="23" t="s">
        <v>22</v>
      </c>
      <c r="N17" s="23" t="s">
        <v>22</v>
      </c>
      <c r="O17" s="23" t="s">
        <v>22</v>
      </c>
      <c r="P17" s="23" t="s">
        <v>22</v>
      </c>
      <c r="Q17" s="23" t="s">
        <v>22</v>
      </c>
      <c r="R17" s="23" t="s">
        <v>22</v>
      </c>
      <c r="S17" s="23" t="s">
        <v>22</v>
      </c>
      <c r="T17" s="23" t="s">
        <v>22</v>
      </c>
      <c r="U17" s="23" t="s">
        <v>22</v>
      </c>
      <c r="V17" s="23" t="s">
        <v>22</v>
      </c>
      <c r="W17" s="23" t="s">
        <v>22</v>
      </c>
      <c r="X17" s="23" t="s">
        <v>22</v>
      </c>
      <c r="Y17" s="23" t="s">
        <v>22</v>
      </c>
      <c r="Z17" s="23">
        <v>-252</v>
      </c>
      <c r="AA17" s="23">
        <v>-267</v>
      </c>
      <c r="AB17" s="23">
        <v>-331</v>
      </c>
      <c r="AC17" s="23">
        <v>-234</v>
      </c>
      <c r="AD17" s="23">
        <v>-164</v>
      </c>
      <c r="AE17" s="23">
        <v>-121</v>
      </c>
      <c r="AF17" s="23">
        <v>-264</v>
      </c>
      <c r="AG17" s="23">
        <v>-331</v>
      </c>
      <c r="AH17" s="23">
        <v>-185</v>
      </c>
      <c r="AI17" s="23">
        <v>-155</v>
      </c>
      <c r="AJ17" s="23">
        <v>-271</v>
      </c>
      <c r="AK17" s="23">
        <v>-350</v>
      </c>
      <c r="AL17" s="23">
        <v>-399</v>
      </c>
      <c r="AM17" s="23">
        <v>-325</v>
      </c>
      <c r="AN17" s="23">
        <v>-301</v>
      </c>
      <c r="AO17" s="23">
        <v>-173</v>
      </c>
      <c r="AP17" s="23">
        <v>-222</v>
      </c>
      <c r="AQ17" s="23">
        <v>-240</v>
      </c>
      <c r="AR17" s="23">
        <v>-298</v>
      </c>
      <c r="AS17" s="23">
        <v>-203</v>
      </c>
      <c r="AT17" s="23">
        <v>-142</v>
      </c>
      <c r="AU17" s="23">
        <v>-21</v>
      </c>
      <c r="AV17" s="23">
        <v>-170</v>
      </c>
      <c r="AW17" s="23">
        <v>-267</v>
      </c>
      <c r="AX17" s="23">
        <v>-99999</v>
      </c>
      <c r="AY17" s="23">
        <v>-99999</v>
      </c>
      <c r="AZ17" s="23">
        <v>-99999</v>
      </c>
      <c r="BA17" s="23">
        <v>-99999</v>
      </c>
      <c r="BB17" s="23">
        <v>-99999</v>
      </c>
      <c r="BC17" s="23">
        <v>-99999</v>
      </c>
      <c r="BD17" s="23">
        <v>-99999</v>
      </c>
      <c r="BE17" s="23">
        <v>-99999</v>
      </c>
      <c r="BF17" s="23">
        <v>-99999</v>
      </c>
      <c r="BG17" s="23">
        <v>-99999</v>
      </c>
      <c r="BH17" s="23">
        <v>-99999</v>
      </c>
      <c r="BI17" s="23">
        <v>-99999</v>
      </c>
      <c r="BJ17" s="23">
        <v>-99999</v>
      </c>
      <c r="BK17" s="23">
        <v>-99999</v>
      </c>
      <c r="BL17" s="23">
        <v>-99999</v>
      </c>
      <c r="BM17" s="23">
        <v>-99999</v>
      </c>
      <c r="BN17" s="23">
        <v>-99999</v>
      </c>
      <c r="BO17" s="23">
        <v>-99999</v>
      </c>
      <c r="BP17" s="23">
        <v>-99999</v>
      </c>
      <c r="BQ17" s="23">
        <v>-99999</v>
      </c>
      <c r="BR17" s="23">
        <v>-99999</v>
      </c>
      <c r="BS17" s="23">
        <v>-99999</v>
      </c>
      <c r="BT17" s="23">
        <v>-99999</v>
      </c>
      <c r="BU17" s="23">
        <v>-99999</v>
      </c>
      <c r="BV17" s="23">
        <v>-99999</v>
      </c>
      <c r="BW17" s="23">
        <v>-99999</v>
      </c>
      <c r="BX17" s="23">
        <v>-99999</v>
      </c>
      <c r="BY17" s="23">
        <v>-99999</v>
      </c>
      <c r="BZ17" s="23">
        <v>-99999</v>
      </c>
      <c r="CA17" s="23">
        <v>-99999</v>
      </c>
      <c r="CB17" s="23">
        <v>-99999</v>
      </c>
      <c r="CC17" s="23">
        <v>-99999</v>
      </c>
      <c r="CD17" s="23">
        <v>-99999</v>
      </c>
      <c r="CE17" s="23">
        <v>-99999</v>
      </c>
      <c r="CF17" s="23">
        <v>-99999</v>
      </c>
      <c r="CG17" s="23">
        <v>-99999</v>
      </c>
      <c r="CH17" s="23">
        <v>-280</v>
      </c>
      <c r="CI17" s="23">
        <v>-236</v>
      </c>
      <c r="CJ17" s="23">
        <v>-230</v>
      </c>
      <c r="CK17" s="23">
        <v>-198</v>
      </c>
      <c r="CL17" s="23">
        <v>-192</v>
      </c>
      <c r="CM17" s="23">
        <v>-205</v>
      </c>
      <c r="CN17" s="23">
        <v>-352</v>
      </c>
      <c r="CO17" s="23">
        <v>-214</v>
      </c>
      <c r="CP17" s="23">
        <v>155</v>
      </c>
      <c r="CQ17" s="23">
        <v>-99999</v>
      </c>
      <c r="CR17" s="23">
        <v>-183</v>
      </c>
      <c r="CS17" s="23">
        <v>-309</v>
      </c>
      <c r="CT17" s="23">
        <v>-288</v>
      </c>
      <c r="CU17" s="23">
        <v>-223</v>
      </c>
      <c r="CV17" s="23">
        <v>-204</v>
      </c>
      <c r="CW17" s="23">
        <v>-167</v>
      </c>
      <c r="CX17" s="23">
        <v>-159</v>
      </c>
      <c r="CY17" s="23">
        <v>-189</v>
      </c>
      <c r="CZ17" s="23">
        <v>-228</v>
      </c>
      <c r="DA17" s="23">
        <v>-314</v>
      </c>
      <c r="DB17" s="23">
        <v>-160</v>
      </c>
      <c r="DC17" s="23">
        <v>-162</v>
      </c>
      <c r="DD17" s="23">
        <v>-293</v>
      </c>
      <c r="DE17" s="23">
        <v>-387</v>
      </c>
      <c r="DF17" s="23">
        <v>-435</v>
      </c>
      <c r="DG17" s="23">
        <v>-406</v>
      </c>
      <c r="DH17" s="23">
        <v>-315</v>
      </c>
      <c r="DI17" s="23">
        <v>-300</v>
      </c>
      <c r="DJ17" s="23">
        <v>-168</v>
      </c>
      <c r="DK17" s="23">
        <v>-230</v>
      </c>
      <c r="DL17" s="23">
        <v>-336</v>
      </c>
      <c r="DM17" s="23">
        <v>-324</v>
      </c>
      <c r="DN17" s="23">
        <v>-217</v>
      </c>
      <c r="DO17" s="23">
        <v>-173</v>
      </c>
      <c r="DP17" s="23">
        <v>-224</v>
      </c>
      <c r="DQ17" s="23">
        <v>-429</v>
      </c>
      <c r="DR17" s="23">
        <v>-446</v>
      </c>
      <c r="DS17" s="23">
        <v>-365</v>
      </c>
      <c r="DT17" s="23">
        <v>-274</v>
      </c>
      <c r="DU17" s="23">
        <v>-146</v>
      </c>
      <c r="DV17" s="23">
        <v>-212</v>
      </c>
      <c r="DW17" s="23">
        <v>-206</v>
      </c>
      <c r="DX17" s="23">
        <v>-269</v>
      </c>
      <c r="DY17" s="23">
        <v>-223</v>
      </c>
      <c r="DZ17" s="23">
        <v>-96</v>
      </c>
      <c r="EA17" s="23">
        <v>-61</v>
      </c>
      <c r="EB17" s="23">
        <v>-158</v>
      </c>
      <c r="EC17" s="23">
        <v>-99999</v>
      </c>
      <c r="ED17" s="23">
        <v>-376</v>
      </c>
      <c r="EE17" s="23">
        <v>-363</v>
      </c>
      <c r="EF17" s="23">
        <v>-240</v>
      </c>
      <c r="EG17" s="23">
        <v>-141</v>
      </c>
      <c r="EH17" s="23">
        <v>-127</v>
      </c>
      <c r="EI17" s="23">
        <v>-138</v>
      </c>
      <c r="EJ17" s="23">
        <v>-250</v>
      </c>
      <c r="EK17" s="23">
        <v>-125</v>
      </c>
      <c r="EL17" s="23">
        <v>29</v>
      </c>
      <c r="EM17" s="23">
        <v>-52</v>
      </c>
      <c r="EN17" s="23">
        <v>-225</v>
      </c>
      <c r="EO17" s="23">
        <v>-339</v>
      </c>
      <c r="EP17" s="23">
        <v>-422</v>
      </c>
      <c r="EQ17" s="23">
        <v>-325</v>
      </c>
      <c r="ER17" s="23">
        <v>-211</v>
      </c>
      <c r="ES17" s="23">
        <v>-266</v>
      </c>
      <c r="ET17" s="23">
        <v>-230</v>
      </c>
      <c r="EU17" s="23">
        <v>-257</v>
      </c>
      <c r="EV17" s="23">
        <v>-215</v>
      </c>
      <c r="EW17" s="23">
        <v>-235</v>
      </c>
      <c r="EX17" s="23">
        <v>-20</v>
      </c>
      <c r="EY17" s="23">
        <v>-67</v>
      </c>
      <c r="EZ17" s="23">
        <v>-162</v>
      </c>
      <c r="FA17" s="23">
        <v>-326</v>
      </c>
      <c r="FB17" s="23">
        <v>-295</v>
      </c>
      <c r="FC17" s="23">
        <v>-235</v>
      </c>
      <c r="FD17" s="23">
        <v>-192</v>
      </c>
      <c r="FE17" s="23">
        <v>-272</v>
      </c>
      <c r="FF17" s="23">
        <v>-77</v>
      </c>
      <c r="FG17" s="23">
        <v>-146</v>
      </c>
      <c r="FH17" s="23">
        <v>-235</v>
      </c>
      <c r="FI17" s="23">
        <v>-253</v>
      </c>
      <c r="FJ17" s="23">
        <v>-109</v>
      </c>
      <c r="FK17" s="23">
        <v>-148</v>
      </c>
      <c r="FL17" s="23">
        <v>-109</v>
      </c>
      <c r="FM17" s="23">
        <v>-289</v>
      </c>
      <c r="FN17" s="23">
        <v>-232</v>
      </c>
      <c r="FO17" s="23">
        <v>-100</v>
      </c>
      <c r="FP17" s="23">
        <v>-275</v>
      </c>
      <c r="FQ17" s="23">
        <v>-99999</v>
      </c>
      <c r="FR17" s="23">
        <v>-225</v>
      </c>
      <c r="FS17" s="23">
        <v>-135</v>
      </c>
      <c r="FT17" s="23">
        <v>-182</v>
      </c>
      <c r="FU17" s="23">
        <v>-239</v>
      </c>
      <c r="FV17" s="23">
        <v>-99999</v>
      </c>
      <c r="FW17" s="23">
        <v>-99999</v>
      </c>
      <c r="FX17" s="23">
        <v>-99999</v>
      </c>
      <c r="FY17" s="23">
        <v>-99999</v>
      </c>
      <c r="FZ17" s="23">
        <v>-485</v>
      </c>
      <c r="GA17" s="23">
        <v>-397</v>
      </c>
      <c r="GB17" s="23">
        <v>-268</v>
      </c>
      <c r="GC17" s="23">
        <v>-262</v>
      </c>
      <c r="GD17" s="23">
        <v>-261</v>
      </c>
      <c r="GE17" s="23">
        <v>-265</v>
      </c>
      <c r="GF17" s="23">
        <v>-249</v>
      </c>
      <c r="GG17" s="23">
        <v>-230</v>
      </c>
      <c r="GH17" s="23">
        <v>-157</v>
      </c>
      <c r="GI17" s="23">
        <v>-33</v>
      </c>
      <c r="GJ17" s="23">
        <v>-227</v>
      </c>
      <c r="GK17" s="23">
        <v>-346</v>
      </c>
      <c r="GL17" s="23">
        <v>-244</v>
      </c>
      <c r="GM17" s="23">
        <v>-336</v>
      </c>
      <c r="GN17" s="23">
        <v>-246</v>
      </c>
      <c r="GO17" s="23">
        <v>-179</v>
      </c>
      <c r="GP17" s="23">
        <v>-68</v>
      </c>
      <c r="GQ17" s="23">
        <v>-121</v>
      </c>
      <c r="GR17" s="23">
        <v>-159</v>
      </c>
      <c r="GS17" s="23">
        <v>-95</v>
      </c>
      <c r="GT17" s="23">
        <v>-27</v>
      </c>
      <c r="GU17" s="23">
        <v>-7</v>
      </c>
      <c r="GV17" s="23">
        <v>-197</v>
      </c>
      <c r="GW17" s="23">
        <v>-317</v>
      </c>
      <c r="GX17" s="23">
        <v>-270</v>
      </c>
      <c r="GY17" s="23">
        <v>-295</v>
      </c>
      <c r="GZ17" s="23">
        <v>-286</v>
      </c>
      <c r="HA17" s="23">
        <v>-159</v>
      </c>
      <c r="HB17" s="23">
        <v>-103</v>
      </c>
      <c r="HC17" s="23">
        <v>-125</v>
      </c>
      <c r="HD17" s="23">
        <v>-144</v>
      </c>
      <c r="HE17" s="23">
        <v>-236</v>
      </c>
      <c r="HF17" s="23">
        <v>179</v>
      </c>
      <c r="HG17" s="23">
        <v>-88</v>
      </c>
      <c r="HH17" s="23">
        <v>-241</v>
      </c>
      <c r="HI17" s="23">
        <v>-380</v>
      </c>
      <c r="HJ17" s="23">
        <v>-459</v>
      </c>
      <c r="HK17" s="23">
        <v>-362</v>
      </c>
      <c r="HL17" s="23">
        <v>-308</v>
      </c>
      <c r="HM17" s="23">
        <v>-235</v>
      </c>
      <c r="HN17" s="23">
        <v>-154</v>
      </c>
      <c r="HO17" s="23">
        <v>-249</v>
      </c>
      <c r="HP17" s="23">
        <v>-306</v>
      </c>
      <c r="HQ17" s="23">
        <v>-206</v>
      </c>
      <c r="HR17" s="23">
        <v>-91</v>
      </c>
      <c r="HS17" s="23">
        <v>-54</v>
      </c>
      <c r="HT17" s="23">
        <v>3</v>
      </c>
      <c r="HU17" s="23">
        <v>-136</v>
      </c>
      <c r="HV17" s="23">
        <v>-276</v>
      </c>
      <c r="HW17" s="23">
        <v>-250</v>
      </c>
      <c r="HX17" s="23">
        <v>-362</v>
      </c>
      <c r="HY17" s="23">
        <v>-189</v>
      </c>
      <c r="HZ17" s="23">
        <v>-127</v>
      </c>
      <c r="IA17" s="23">
        <v>-107</v>
      </c>
      <c r="IB17" s="23">
        <v>-1</v>
      </c>
      <c r="IC17" s="23">
        <v>-141</v>
      </c>
      <c r="ID17" s="23">
        <v>64</v>
      </c>
      <c r="IE17" s="23">
        <v>-175</v>
      </c>
      <c r="IF17" s="23">
        <v>-202</v>
      </c>
      <c r="IG17" s="23">
        <v>-378</v>
      </c>
      <c r="IH17" s="23">
        <v>-401</v>
      </c>
      <c r="II17" s="23">
        <v>-436</v>
      </c>
      <c r="IJ17" s="23">
        <v>-264</v>
      </c>
      <c r="IK17" s="23">
        <v>-167</v>
      </c>
      <c r="IL17" s="23">
        <v>-137</v>
      </c>
      <c r="IM17" s="23">
        <v>-160</v>
      </c>
      <c r="IN17" s="23">
        <v>-198</v>
      </c>
      <c r="IO17" s="23">
        <v>-251</v>
      </c>
      <c r="IP17" s="23">
        <v>-212</v>
      </c>
      <c r="IQ17" s="23">
        <v>-169</v>
      </c>
      <c r="IR17" s="23">
        <v>-216</v>
      </c>
      <c r="IS17" s="23">
        <v>-239</v>
      </c>
      <c r="IT17" s="23">
        <v>-343</v>
      </c>
      <c r="IU17" s="23">
        <v>-209</v>
      </c>
      <c r="IV17" s="23">
        <v>-105</v>
      </c>
      <c r="IW17" s="23">
        <v>-84</v>
      </c>
      <c r="IX17" s="23">
        <v>-137</v>
      </c>
      <c r="IY17" s="23">
        <v>-28</v>
      </c>
      <c r="IZ17" s="23">
        <v>-107</v>
      </c>
      <c r="JA17" s="23">
        <v>-137</v>
      </c>
      <c r="JB17" s="23">
        <v>-72</v>
      </c>
      <c r="JC17" s="23">
        <v>-130</v>
      </c>
      <c r="JD17" s="23">
        <v>-155</v>
      </c>
      <c r="JE17" s="23">
        <v>-265</v>
      </c>
      <c r="JF17" s="23">
        <v>-268</v>
      </c>
      <c r="JG17" s="23">
        <v>-226</v>
      </c>
      <c r="JH17" s="23">
        <v>-259</v>
      </c>
      <c r="JI17" s="23">
        <v>-114</v>
      </c>
      <c r="JJ17" s="23">
        <v>-113</v>
      </c>
      <c r="JK17" s="23">
        <v>-162</v>
      </c>
      <c r="JL17" s="23">
        <v>-121</v>
      </c>
      <c r="JM17" s="23">
        <v>-120</v>
      </c>
      <c r="JN17" s="23">
        <v>14</v>
      </c>
      <c r="JO17" s="23">
        <v>5</v>
      </c>
      <c r="JP17" s="23">
        <v>-38</v>
      </c>
      <c r="JQ17" s="23">
        <v>-234</v>
      </c>
      <c r="JR17" s="23">
        <v>-338</v>
      </c>
      <c r="JS17" s="23">
        <v>-290</v>
      </c>
      <c r="JT17" s="23">
        <v>-239</v>
      </c>
      <c r="JU17" s="23">
        <v>-174</v>
      </c>
      <c r="JV17" s="23">
        <v>-129</v>
      </c>
      <c r="JW17" s="23">
        <v>-81</v>
      </c>
      <c r="JX17" s="23">
        <v>-236</v>
      </c>
      <c r="JY17" s="23">
        <v>-175</v>
      </c>
      <c r="JZ17" s="23">
        <v>-5</v>
      </c>
      <c r="KA17" s="23">
        <v>-85</v>
      </c>
      <c r="KB17" s="23">
        <v>-159</v>
      </c>
      <c r="KC17" s="23">
        <v>-178</v>
      </c>
      <c r="KD17" s="23">
        <v>-276</v>
      </c>
      <c r="KE17" s="23">
        <v>-260</v>
      </c>
      <c r="KF17" s="23">
        <v>-239</v>
      </c>
      <c r="KG17" s="23">
        <v>-86</v>
      </c>
      <c r="KH17" s="23">
        <v>14</v>
      </c>
      <c r="KI17" s="23">
        <v>-48</v>
      </c>
      <c r="KJ17" s="23">
        <v>-182</v>
      </c>
      <c r="KK17" s="23">
        <v>-145</v>
      </c>
      <c r="KL17" s="23">
        <v>-22</v>
      </c>
      <c r="KM17" s="23">
        <v>37</v>
      </c>
      <c r="KN17" s="23">
        <v>100</v>
      </c>
      <c r="KO17" s="23">
        <v>0</v>
      </c>
    </row>
    <row r="18" spans="1:301">
      <c r="A18" s="22">
        <v>8</v>
      </c>
      <c r="B18" s="23" t="s">
        <v>22</v>
      </c>
      <c r="C18" s="23" t="s">
        <v>22</v>
      </c>
      <c r="D18" s="23" t="s">
        <v>22</v>
      </c>
      <c r="E18" s="23" t="s">
        <v>22</v>
      </c>
      <c r="F18" s="23" t="s">
        <v>22</v>
      </c>
      <c r="G18" s="23" t="s">
        <v>22</v>
      </c>
      <c r="H18" s="23" t="s">
        <v>22</v>
      </c>
      <c r="I18" s="23" t="s">
        <v>22</v>
      </c>
      <c r="J18" s="23" t="s">
        <v>22</v>
      </c>
      <c r="K18" s="23" t="s">
        <v>22</v>
      </c>
      <c r="L18" s="23" t="s">
        <v>22</v>
      </c>
      <c r="M18" s="23" t="s">
        <v>22</v>
      </c>
      <c r="N18" s="23" t="s">
        <v>22</v>
      </c>
      <c r="O18" s="23" t="s">
        <v>22</v>
      </c>
      <c r="P18" s="23" t="s">
        <v>22</v>
      </c>
      <c r="Q18" s="23" t="s">
        <v>22</v>
      </c>
      <c r="R18" s="23" t="s">
        <v>22</v>
      </c>
      <c r="S18" s="23" t="s">
        <v>22</v>
      </c>
      <c r="T18" s="23" t="s">
        <v>22</v>
      </c>
      <c r="U18" s="23" t="s">
        <v>22</v>
      </c>
      <c r="V18" s="23" t="s">
        <v>22</v>
      </c>
      <c r="W18" s="23" t="s">
        <v>22</v>
      </c>
      <c r="X18" s="23" t="s">
        <v>22</v>
      </c>
      <c r="Y18" s="23" t="s">
        <v>22</v>
      </c>
      <c r="Z18" s="23" t="s">
        <v>22</v>
      </c>
      <c r="AA18" s="23" t="s">
        <v>22</v>
      </c>
      <c r="AB18" s="23" t="s">
        <v>22</v>
      </c>
      <c r="AC18" s="23" t="s">
        <v>22</v>
      </c>
      <c r="AD18" s="23" t="s">
        <v>22</v>
      </c>
      <c r="AE18" s="23" t="s">
        <v>22</v>
      </c>
      <c r="AF18" s="23" t="s">
        <v>22</v>
      </c>
      <c r="AG18" s="23" t="s">
        <v>22</v>
      </c>
      <c r="AH18" s="23" t="s">
        <v>22</v>
      </c>
      <c r="AI18" s="23" t="s">
        <v>22</v>
      </c>
      <c r="AJ18" s="23" t="s">
        <v>22</v>
      </c>
      <c r="AK18" s="23" t="s">
        <v>22</v>
      </c>
      <c r="AL18" s="23" t="s">
        <v>22</v>
      </c>
      <c r="AM18" s="23" t="s">
        <v>22</v>
      </c>
      <c r="AN18" s="23" t="s">
        <v>22</v>
      </c>
      <c r="AO18" s="23" t="s">
        <v>22</v>
      </c>
      <c r="AP18" s="23" t="s">
        <v>22</v>
      </c>
      <c r="AQ18" s="23" t="s">
        <v>22</v>
      </c>
      <c r="AR18" s="23" t="s">
        <v>22</v>
      </c>
      <c r="AS18" s="23" t="s">
        <v>22</v>
      </c>
      <c r="AT18" s="23" t="s">
        <v>22</v>
      </c>
      <c r="AU18" s="23" t="s">
        <v>22</v>
      </c>
      <c r="AV18" s="23" t="s">
        <v>22</v>
      </c>
      <c r="AW18" s="23" t="s">
        <v>22</v>
      </c>
      <c r="AX18" s="23" t="s">
        <v>22</v>
      </c>
      <c r="AY18" s="23" t="s">
        <v>22</v>
      </c>
      <c r="AZ18" s="23" t="s">
        <v>22</v>
      </c>
      <c r="BA18" s="23" t="s">
        <v>22</v>
      </c>
      <c r="BB18" s="23" t="s">
        <v>22</v>
      </c>
      <c r="BC18" s="23" t="s">
        <v>22</v>
      </c>
      <c r="BD18" s="23" t="s">
        <v>22</v>
      </c>
      <c r="BE18" s="23" t="s">
        <v>22</v>
      </c>
      <c r="BF18" s="23" t="s">
        <v>22</v>
      </c>
      <c r="BG18" s="23" t="s">
        <v>22</v>
      </c>
      <c r="BH18" s="23" t="s">
        <v>22</v>
      </c>
      <c r="BI18" s="23" t="s">
        <v>22</v>
      </c>
      <c r="BJ18" s="23" t="s">
        <v>22</v>
      </c>
      <c r="BK18" s="23" t="s">
        <v>22</v>
      </c>
      <c r="BL18" s="23" t="s">
        <v>22</v>
      </c>
      <c r="BM18" s="23" t="s">
        <v>22</v>
      </c>
      <c r="BN18" s="23" t="s">
        <v>22</v>
      </c>
      <c r="BO18" s="23" t="s">
        <v>22</v>
      </c>
      <c r="BP18" s="23" t="s">
        <v>22</v>
      </c>
      <c r="BQ18" s="23" t="s">
        <v>22</v>
      </c>
      <c r="BR18" s="23" t="s">
        <v>22</v>
      </c>
      <c r="BS18" s="23" t="s">
        <v>22</v>
      </c>
      <c r="BT18" s="23" t="s">
        <v>22</v>
      </c>
      <c r="BU18" s="23" t="s">
        <v>22</v>
      </c>
      <c r="BV18" s="23" t="s">
        <v>22</v>
      </c>
      <c r="BW18" s="23" t="s">
        <v>22</v>
      </c>
      <c r="BX18" s="23" t="s">
        <v>22</v>
      </c>
      <c r="BY18" s="23" t="s">
        <v>22</v>
      </c>
      <c r="BZ18" s="23" t="s">
        <v>22</v>
      </c>
      <c r="CA18" s="23" t="s">
        <v>22</v>
      </c>
      <c r="CB18" s="23" t="s">
        <v>22</v>
      </c>
      <c r="CC18" s="23" t="s">
        <v>22</v>
      </c>
      <c r="CD18" s="23" t="s">
        <v>22</v>
      </c>
      <c r="CE18" s="23" t="s">
        <v>22</v>
      </c>
      <c r="CF18" s="23" t="s">
        <v>22</v>
      </c>
      <c r="CG18" s="23" t="s">
        <v>22</v>
      </c>
      <c r="CH18" s="23" t="s">
        <v>22</v>
      </c>
      <c r="CI18" s="23" t="s">
        <v>22</v>
      </c>
      <c r="CJ18" s="23" t="s">
        <v>22</v>
      </c>
      <c r="CK18" s="23" t="s">
        <v>22</v>
      </c>
      <c r="CL18" s="23" t="s">
        <v>22</v>
      </c>
      <c r="CM18" s="23" t="s">
        <v>22</v>
      </c>
      <c r="CN18" s="23" t="s">
        <v>22</v>
      </c>
      <c r="CO18" s="23" t="s">
        <v>22</v>
      </c>
      <c r="CP18" s="23" t="s">
        <v>22</v>
      </c>
      <c r="CQ18" s="23" t="s">
        <v>22</v>
      </c>
      <c r="CR18" s="23" t="s">
        <v>22</v>
      </c>
      <c r="CS18" s="23" t="s">
        <v>22</v>
      </c>
      <c r="CT18" s="23" t="s">
        <v>22</v>
      </c>
      <c r="CU18" s="23" t="s">
        <v>22</v>
      </c>
      <c r="CV18" s="23" t="s">
        <v>22</v>
      </c>
      <c r="CW18" s="23" t="s">
        <v>22</v>
      </c>
      <c r="CX18" s="23" t="s">
        <v>22</v>
      </c>
      <c r="CY18" s="23" t="s">
        <v>22</v>
      </c>
      <c r="CZ18" s="23" t="s">
        <v>22</v>
      </c>
      <c r="DA18" s="23" t="s">
        <v>22</v>
      </c>
      <c r="DB18" s="23" t="s">
        <v>22</v>
      </c>
      <c r="DC18" s="23" t="s">
        <v>22</v>
      </c>
      <c r="DD18" s="23" t="s">
        <v>22</v>
      </c>
      <c r="DE18" s="23" t="s">
        <v>22</v>
      </c>
      <c r="DF18" s="23" t="s">
        <v>22</v>
      </c>
      <c r="DG18" s="23" t="s">
        <v>22</v>
      </c>
      <c r="DH18" s="23" t="s">
        <v>22</v>
      </c>
      <c r="DI18" s="23" t="s">
        <v>22</v>
      </c>
      <c r="DJ18" s="23" t="s">
        <v>22</v>
      </c>
      <c r="DK18" s="23" t="s">
        <v>22</v>
      </c>
      <c r="DL18" s="23" t="s">
        <v>22</v>
      </c>
      <c r="DM18" s="23" t="s">
        <v>22</v>
      </c>
      <c r="DN18" s="23" t="s">
        <v>22</v>
      </c>
      <c r="DO18" s="23" t="s">
        <v>22</v>
      </c>
      <c r="DP18" s="23" t="s">
        <v>22</v>
      </c>
      <c r="DQ18" s="23" t="s">
        <v>22</v>
      </c>
      <c r="DR18" s="23" t="s">
        <v>22</v>
      </c>
      <c r="DS18" s="23" t="s">
        <v>22</v>
      </c>
      <c r="DT18" s="23" t="s">
        <v>22</v>
      </c>
      <c r="DU18" s="23" t="s">
        <v>22</v>
      </c>
      <c r="DV18" s="23" t="s">
        <v>22</v>
      </c>
      <c r="DW18" s="23" t="s">
        <v>22</v>
      </c>
      <c r="DX18" s="23" t="s">
        <v>22</v>
      </c>
      <c r="DY18" s="23" t="s">
        <v>22</v>
      </c>
      <c r="DZ18" s="23" t="s">
        <v>22</v>
      </c>
      <c r="EA18" s="23" t="s">
        <v>22</v>
      </c>
      <c r="EB18" s="23" t="s">
        <v>22</v>
      </c>
      <c r="EC18" s="23" t="s">
        <v>22</v>
      </c>
      <c r="ED18" s="23" t="s">
        <v>22</v>
      </c>
      <c r="EE18" s="23" t="s">
        <v>22</v>
      </c>
      <c r="EF18" s="23" t="s">
        <v>22</v>
      </c>
      <c r="EG18" s="23" t="s">
        <v>22</v>
      </c>
      <c r="EH18" s="23" t="s">
        <v>22</v>
      </c>
      <c r="EI18" s="23" t="s">
        <v>22</v>
      </c>
      <c r="EJ18" s="23" t="s">
        <v>22</v>
      </c>
      <c r="EK18" s="23" t="s">
        <v>22</v>
      </c>
      <c r="EL18" s="23" t="s">
        <v>22</v>
      </c>
      <c r="EM18" s="23" t="s">
        <v>22</v>
      </c>
      <c r="EN18" s="23" t="s">
        <v>22</v>
      </c>
      <c r="EO18" s="23" t="s">
        <v>22</v>
      </c>
      <c r="EP18" s="23" t="s">
        <v>22</v>
      </c>
      <c r="EQ18" s="23" t="s">
        <v>22</v>
      </c>
      <c r="ER18" s="23" t="s">
        <v>22</v>
      </c>
      <c r="ES18" s="23" t="s">
        <v>22</v>
      </c>
      <c r="ET18" s="23" t="s">
        <v>22</v>
      </c>
      <c r="EU18" s="23" t="s">
        <v>22</v>
      </c>
      <c r="EV18" s="23" t="s">
        <v>22</v>
      </c>
      <c r="EW18" s="23" t="s">
        <v>22</v>
      </c>
      <c r="EX18" s="23" t="s">
        <v>22</v>
      </c>
      <c r="EY18" s="23" t="s">
        <v>22</v>
      </c>
      <c r="EZ18" s="23" t="s">
        <v>22</v>
      </c>
      <c r="FA18" s="23" t="s">
        <v>22</v>
      </c>
      <c r="FB18" s="23" t="s">
        <v>22</v>
      </c>
      <c r="FC18" s="23" t="s">
        <v>22</v>
      </c>
      <c r="FD18" s="23" t="s">
        <v>22</v>
      </c>
      <c r="FE18" s="23" t="s">
        <v>22</v>
      </c>
      <c r="FF18" s="23" t="s">
        <v>22</v>
      </c>
      <c r="FG18" s="23" t="s">
        <v>22</v>
      </c>
      <c r="FH18" s="23" t="s">
        <v>22</v>
      </c>
      <c r="FI18" s="23" t="s">
        <v>22</v>
      </c>
      <c r="FJ18" s="23" t="s">
        <v>22</v>
      </c>
      <c r="FK18" s="23" t="s">
        <v>22</v>
      </c>
      <c r="FL18" s="23" t="s">
        <v>22</v>
      </c>
      <c r="FM18" s="23" t="s">
        <v>22</v>
      </c>
      <c r="FN18" s="23" t="s">
        <v>22</v>
      </c>
      <c r="FO18" s="23" t="s">
        <v>22</v>
      </c>
      <c r="FP18" s="23" t="s">
        <v>22</v>
      </c>
      <c r="FQ18" s="23" t="s">
        <v>22</v>
      </c>
      <c r="FR18" s="23" t="s">
        <v>22</v>
      </c>
      <c r="FS18" s="23" t="s">
        <v>22</v>
      </c>
      <c r="FT18" s="23" t="s">
        <v>22</v>
      </c>
      <c r="FU18" s="23" t="s">
        <v>22</v>
      </c>
      <c r="FV18" s="23" t="s">
        <v>22</v>
      </c>
      <c r="FW18" s="23" t="s">
        <v>22</v>
      </c>
      <c r="FX18" s="23" t="s">
        <v>22</v>
      </c>
      <c r="FY18" s="23" t="s">
        <v>22</v>
      </c>
      <c r="FZ18" s="23" t="s">
        <v>22</v>
      </c>
      <c r="GA18" s="23" t="s">
        <v>22</v>
      </c>
      <c r="GB18" s="23" t="s">
        <v>22</v>
      </c>
      <c r="GC18" s="23" t="s">
        <v>22</v>
      </c>
      <c r="GD18" s="23" t="s">
        <v>22</v>
      </c>
      <c r="GE18" s="23" t="s">
        <v>22</v>
      </c>
      <c r="GF18" s="23" t="s">
        <v>22</v>
      </c>
      <c r="GG18" s="23" t="s">
        <v>22</v>
      </c>
      <c r="GH18" s="23" t="s">
        <v>22</v>
      </c>
      <c r="GI18" s="23">
        <v>-8</v>
      </c>
      <c r="GJ18" s="23">
        <v>-158</v>
      </c>
      <c r="GK18" s="23">
        <v>-249</v>
      </c>
      <c r="GL18" s="23">
        <v>-205</v>
      </c>
      <c r="GM18" s="23">
        <v>-280</v>
      </c>
      <c r="GN18" s="23">
        <v>-188</v>
      </c>
      <c r="GO18" s="23">
        <v>-91</v>
      </c>
      <c r="GP18" s="23">
        <v>-2</v>
      </c>
      <c r="GQ18" s="23">
        <v>-69</v>
      </c>
      <c r="GR18" s="23">
        <v>-134</v>
      </c>
      <c r="GS18" s="23">
        <v>-69</v>
      </c>
      <c r="GT18" s="23">
        <v>20</v>
      </c>
      <c r="GU18" s="23">
        <v>63</v>
      </c>
      <c r="GV18" s="23">
        <v>-122</v>
      </c>
      <c r="GW18" s="23">
        <v>-252</v>
      </c>
      <c r="GX18" s="23">
        <v>-177</v>
      </c>
      <c r="GY18" s="23">
        <v>-256</v>
      </c>
      <c r="GZ18" s="23">
        <v>-258</v>
      </c>
      <c r="HA18" s="23">
        <v>-138</v>
      </c>
      <c r="HB18" s="23">
        <v>-74</v>
      </c>
      <c r="HC18" s="23">
        <v>-120</v>
      </c>
      <c r="HD18" s="23">
        <v>-99999</v>
      </c>
      <c r="HE18" s="23">
        <v>-243</v>
      </c>
      <c r="HF18" s="23">
        <v>125</v>
      </c>
      <c r="HG18" s="23">
        <v>24</v>
      </c>
      <c r="HH18" s="23">
        <v>-120</v>
      </c>
      <c r="HI18" s="23">
        <v>-259</v>
      </c>
      <c r="HJ18" s="23">
        <v>-356</v>
      </c>
      <c r="HK18" s="23">
        <v>-258</v>
      </c>
      <c r="HL18" s="23">
        <v>-207</v>
      </c>
      <c r="HM18" s="23">
        <v>-187</v>
      </c>
      <c r="HN18" s="23">
        <v>-101</v>
      </c>
      <c r="HO18" s="23">
        <v>-186</v>
      </c>
      <c r="HP18" s="23">
        <v>-244</v>
      </c>
      <c r="HQ18" s="23">
        <v>-146</v>
      </c>
      <c r="HR18" s="23">
        <v>-12</v>
      </c>
      <c r="HS18" s="23">
        <v>26</v>
      </c>
      <c r="HT18" s="23">
        <v>28</v>
      </c>
      <c r="HU18" s="23">
        <v>-115</v>
      </c>
      <c r="HV18" s="23">
        <v>-260</v>
      </c>
      <c r="HW18" s="23">
        <v>-203</v>
      </c>
      <c r="HX18" s="23">
        <v>-341</v>
      </c>
      <c r="HY18" s="23">
        <v>-170</v>
      </c>
      <c r="HZ18" s="23">
        <v>-102</v>
      </c>
      <c r="IA18" s="23">
        <v>-100</v>
      </c>
      <c r="IB18" s="23">
        <v>45</v>
      </c>
      <c r="IC18" s="23">
        <v>-107</v>
      </c>
      <c r="ID18" s="23">
        <v>121</v>
      </c>
      <c r="IE18" s="23">
        <v>-105</v>
      </c>
      <c r="IF18" s="23">
        <v>-133</v>
      </c>
      <c r="IG18" s="23">
        <v>-298</v>
      </c>
      <c r="IH18" s="23">
        <v>-331</v>
      </c>
      <c r="II18" s="23">
        <v>-387</v>
      </c>
      <c r="IJ18" s="23">
        <v>-222</v>
      </c>
      <c r="IK18" s="23">
        <v>-161</v>
      </c>
      <c r="IL18" s="23">
        <v>-106</v>
      </c>
      <c r="IM18" s="23">
        <v>-151</v>
      </c>
      <c r="IN18" s="23">
        <v>-184</v>
      </c>
      <c r="IO18" s="23">
        <v>-224</v>
      </c>
      <c r="IP18" s="23">
        <v>-180</v>
      </c>
      <c r="IQ18" s="23">
        <v>-117</v>
      </c>
      <c r="IR18" s="23">
        <v>-150</v>
      </c>
      <c r="IS18" s="23">
        <v>-163</v>
      </c>
      <c r="IT18" s="23">
        <v>-299</v>
      </c>
      <c r="IU18" s="23">
        <v>-173</v>
      </c>
      <c r="IV18" s="23">
        <v>-108</v>
      </c>
      <c r="IW18" s="23">
        <v>-70</v>
      </c>
      <c r="IX18" s="23">
        <v>-109</v>
      </c>
      <c r="IY18" s="23">
        <v>-17</v>
      </c>
      <c r="IZ18" s="23">
        <v>-106</v>
      </c>
      <c r="JA18" s="23">
        <v>-111</v>
      </c>
      <c r="JB18" s="23">
        <v>-55</v>
      </c>
      <c r="JC18" s="23">
        <v>-89</v>
      </c>
      <c r="JD18" s="23">
        <v>-107</v>
      </c>
      <c r="JE18" s="23">
        <v>-213</v>
      </c>
      <c r="JF18" s="23">
        <v>-234</v>
      </c>
      <c r="JG18" s="23">
        <v>-202</v>
      </c>
      <c r="JH18" s="23">
        <v>-223</v>
      </c>
      <c r="JI18" s="23">
        <v>-78</v>
      </c>
      <c r="JJ18" s="23">
        <v>-106</v>
      </c>
      <c r="JK18" s="23">
        <v>-146</v>
      </c>
      <c r="JL18" s="23">
        <v>-119</v>
      </c>
      <c r="JM18" s="23">
        <v>-108</v>
      </c>
      <c r="JN18" s="23">
        <v>54</v>
      </c>
      <c r="JO18" s="23">
        <v>65</v>
      </c>
      <c r="JP18" s="23">
        <v>54</v>
      </c>
      <c r="JQ18" s="23">
        <v>-171</v>
      </c>
      <c r="JR18" s="23">
        <v>-275</v>
      </c>
      <c r="JS18" s="23">
        <v>-235</v>
      </c>
      <c r="JT18" s="23">
        <v>-200</v>
      </c>
      <c r="JU18" s="23">
        <v>-142</v>
      </c>
      <c r="JV18" s="23">
        <v>-114</v>
      </c>
      <c r="JW18" s="23">
        <v>-78</v>
      </c>
      <c r="JX18" s="23">
        <v>-245</v>
      </c>
      <c r="JY18" s="23">
        <v>-172</v>
      </c>
      <c r="JZ18" s="23">
        <v>42</v>
      </c>
      <c r="KA18" s="23">
        <v>-40</v>
      </c>
      <c r="KB18" s="23">
        <v>-86</v>
      </c>
      <c r="KC18" s="23">
        <v>-119</v>
      </c>
      <c r="KD18" s="23">
        <v>-99999</v>
      </c>
      <c r="KE18" s="23">
        <v>-208</v>
      </c>
      <c r="KF18" s="23">
        <v>-231</v>
      </c>
      <c r="KG18" s="23">
        <v>-98</v>
      </c>
      <c r="KH18" s="23">
        <v>14</v>
      </c>
      <c r="KI18" s="23">
        <v>-92</v>
      </c>
      <c r="KJ18" s="23">
        <v>-205</v>
      </c>
      <c r="KK18" s="23">
        <v>-142</v>
      </c>
      <c r="KL18" s="23">
        <v>7</v>
      </c>
      <c r="KM18" s="23">
        <v>100</v>
      </c>
      <c r="KN18" s="23">
        <v>123</v>
      </c>
      <c r="KO18" s="23">
        <v>0</v>
      </c>
    </row>
    <row r="19" spans="1:301">
      <c r="A19" s="22">
        <v>9</v>
      </c>
      <c r="B19" s="23" t="s">
        <v>22</v>
      </c>
      <c r="C19" s="23" t="s">
        <v>22</v>
      </c>
      <c r="D19" s="23" t="s">
        <v>22</v>
      </c>
      <c r="E19" s="23" t="s">
        <v>22</v>
      </c>
      <c r="F19" s="23" t="s">
        <v>22</v>
      </c>
      <c r="G19" s="23" t="s">
        <v>22</v>
      </c>
      <c r="H19" s="23" t="s">
        <v>22</v>
      </c>
      <c r="I19" s="23" t="s">
        <v>22</v>
      </c>
      <c r="J19" s="23" t="s">
        <v>22</v>
      </c>
      <c r="K19" s="23" t="s">
        <v>22</v>
      </c>
      <c r="L19" s="23" t="s">
        <v>22</v>
      </c>
      <c r="M19" s="23" t="s">
        <v>22</v>
      </c>
      <c r="N19" s="23" t="s">
        <v>22</v>
      </c>
      <c r="O19" s="23" t="s">
        <v>22</v>
      </c>
      <c r="P19" s="23" t="s">
        <v>22</v>
      </c>
      <c r="Q19" s="23" t="s">
        <v>22</v>
      </c>
      <c r="R19" s="23" t="s">
        <v>22</v>
      </c>
      <c r="S19" s="23" t="s">
        <v>22</v>
      </c>
      <c r="T19" s="23" t="s">
        <v>22</v>
      </c>
      <c r="U19" s="23" t="s">
        <v>22</v>
      </c>
      <c r="V19" s="23" t="s">
        <v>22</v>
      </c>
      <c r="W19" s="23" t="s">
        <v>22</v>
      </c>
      <c r="X19" s="23" t="s">
        <v>22</v>
      </c>
      <c r="Y19" s="23" t="s">
        <v>22</v>
      </c>
      <c r="Z19" s="23" t="s">
        <v>22</v>
      </c>
      <c r="AA19" s="23" t="s">
        <v>22</v>
      </c>
      <c r="AB19" s="23" t="s">
        <v>22</v>
      </c>
      <c r="AC19" s="23" t="s">
        <v>22</v>
      </c>
      <c r="AD19" s="23" t="s">
        <v>22</v>
      </c>
      <c r="AE19" s="23" t="s">
        <v>22</v>
      </c>
      <c r="AF19" s="23" t="s">
        <v>22</v>
      </c>
      <c r="AG19" s="23" t="s">
        <v>22</v>
      </c>
      <c r="AH19" s="23" t="s">
        <v>22</v>
      </c>
      <c r="AI19" s="23" t="s">
        <v>22</v>
      </c>
      <c r="AJ19" s="23" t="s">
        <v>22</v>
      </c>
      <c r="AK19" s="23" t="s">
        <v>22</v>
      </c>
      <c r="AL19" s="23" t="s">
        <v>22</v>
      </c>
      <c r="AM19" s="23" t="s">
        <v>22</v>
      </c>
      <c r="AN19" s="23" t="s">
        <v>22</v>
      </c>
      <c r="AO19" s="23" t="s">
        <v>22</v>
      </c>
      <c r="AP19" s="23" t="s">
        <v>22</v>
      </c>
      <c r="AQ19" s="23" t="s">
        <v>22</v>
      </c>
      <c r="AR19" s="23" t="s">
        <v>22</v>
      </c>
      <c r="AS19" s="23" t="s">
        <v>22</v>
      </c>
      <c r="AT19" s="23" t="s">
        <v>22</v>
      </c>
      <c r="AU19" s="23" t="s">
        <v>22</v>
      </c>
      <c r="AV19" s="23" t="s">
        <v>22</v>
      </c>
      <c r="AW19" s="23" t="s">
        <v>22</v>
      </c>
      <c r="AX19" s="23" t="s">
        <v>22</v>
      </c>
      <c r="AY19" s="23" t="s">
        <v>22</v>
      </c>
      <c r="AZ19" s="23" t="s">
        <v>22</v>
      </c>
      <c r="BA19" s="23" t="s">
        <v>22</v>
      </c>
      <c r="BB19" s="23" t="s">
        <v>22</v>
      </c>
      <c r="BC19" s="23" t="s">
        <v>22</v>
      </c>
      <c r="BD19" s="23" t="s">
        <v>22</v>
      </c>
      <c r="BE19" s="23" t="s">
        <v>22</v>
      </c>
      <c r="BF19" s="23" t="s">
        <v>22</v>
      </c>
      <c r="BG19" s="23" t="s">
        <v>22</v>
      </c>
      <c r="BH19" s="23" t="s">
        <v>22</v>
      </c>
      <c r="BI19" s="23" t="s">
        <v>22</v>
      </c>
      <c r="BJ19" s="23" t="s">
        <v>22</v>
      </c>
      <c r="BK19" s="23" t="s">
        <v>22</v>
      </c>
      <c r="BL19" s="23" t="s">
        <v>22</v>
      </c>
      <c r="BM19" s="23" t="s">
        <v>22</v>
      </c>
      <c r="BN19" s="23" t="s">
        <v>22</v>
      </c>
      <c r="BO19" s="23" t="s">
        <v>22</v>
      </c>
      <c r="BP19" s="23" t="s">
        <v>22</v>
      </c>
      <c r="BQ19" s="23" t="s">
        <v>22</v>
      </c>
      <c r="BR19" s="23" t="s">
        <v>22</v>
      </c>
      <c r="BS19" s="23" t="s">
        <v>22</v>
      </c>
      <c r="BT19" s="23" t="s">
        <v>22</v>
      </c>
      <c r="BU19" s="23" t="s">
        <v>22</v>
      </c>
      <c r="BV19" s="23" t="s">
        <v>22</v>
      </c>
      <c r="BW19" s="23" t="s">
        <v>22</v>
      </c>
      <c r="BX19" s="23" t="s">
        <v>22</v>
      </c>
      <c r="BY19" s="23" t="s">
        <v>22</v>
      </c>
      <c r="BZ19" s="23" t="s">
        <v>22</v>
      </c>
      <c r="CA19" s="23" t="s">
        <v>22</v>
      </c>
      <c r="CB19" s="23" t="s">
        <v>22</v>
      </c>
      <c r="CC19" s="23" t="s">
        <v>22</v>
      </c>
      <c r="CD19" s="23" t="s">
        <v>22</v>
      </c>
      <c r="CE19" s="23" t="s">
        <v>22</v>
      </c>
      <c r="CF19" s="23" t="s">
        <v>22</v>
      </c>
      <c r="CG19" s="23" t="s">
        <v>22</v>
      </c>
      <c r="CH19" s="23">
        <v>-317</v>
      </c>
      <c r="CI19" s="23">
        <v>-201</v>
      </c>
      <c r="CJ19" s="23">
        <v>-196</v>
      </c>
      <c r="CK19" s="23">
        <v>-118</v>
      </c>
      <c r="CL19" s="23">
        <v>-129</v>
      </c>
      <c r="CM19" s="23">
        <v>-191</v>
      </c>
      <c r="CN19" s="23">
        <v>-312</v>
      </c>
      <c r="CO19" s="23">
        <v>-156</v>
      </c>
      <c r="CP19" s="23">
        <v>189</v>
      </c>
      <c r="CQ19" s="23">
        <v>56</v>
      </c>
      <c r="CR19" s="23">
        <v>-94</v>
      </c>
      <c r="CS19" s="23">
        <v>-245</v>
      </c>
      <c r="CT19" s="23">
        <v>-267</v>
      </c>
      <c r="CU19" s="23">
        <v>-199</v>
      </c>
      <c r="CV19" s="23">
        <v>-99999</v>
      </c>
      <c r="CW19" s="23">
        <v>-139</v>
      </c>
      <c r="CX19" s="23">
        <v>-78</v>
      </c>
      <c r="CY19" s="23">
        <v>-188</v>
      </c>
      <c r="CZ19" s="23">
        <v>-223</v>
      </c>
      <c r="DA19" s="23">
        <v>-236</v>
      </c>
      <c r="DB19" s="23">
        <v>-106</v>
      </c>
      <c r="DC19" s="23">
        <v>-54</v>
      </c>
      <c r="DD19" s="23">
        <v>-166</v>
      </c>
      <c r="DE19" s="23">
        <v>-258</v>
      </c>
      <c r="DF19" s="23">
        <v>-306</v>
      </c>
      <c r="DG19" s="23">
        <v>-287</v>
      </c>
      <c r="DH19" s="23">
        <v>-188</v>
      </c>
      <c r="DI19" s="23">
        <v>-205</v>
      </c>
      <c r="DJ19" s="23">
        <v>-149</v>
      </c>
      <c r="DK19" s="23">
        <v>-203</v>
      </c>
      <c r="DL19" s="23">
        <v>-275</v>
      </c>
      <c r="DM19" s="23">
        <v>-236</v>
      </c>
      <c r="DN19" s="23">
        <v>-144</v>
      </c>
      <c r="DO19" s="23">
        <v>-53</v>
      </c>
      <c r="DP19" s="23">
        <v>-127</v>
      </c>
      <c r="DQ19" s="23">
        <v>-315</v>
      </c>
      <c r="DR19" s="23">
        <v>-404</v>
      </c>
      <c r="DS19" s="23">
        <v>-344</v>
      </c>
      <c r="DT19" s="23">
        <v>-296</v>
      </c>
      <c r="DU19" s="23">
        <v>-156</v>
      </c>
      <c r="DV19" s="23">
        <v>-173</v>
      </c>
      <c r="DW19" s="23">
        <v>-270</v>
      </c>
      <c r="DX19" s="23">
        <v>-272</v>
      </c>
      <c r="DY19" s="23">
        <v>-211</v>
      </c>
      <c r="DZ19" s="23">
        <v>-123</v>
      </c>
      <c r="EA19" s="23">
        <v>-13</v>
      </c>
      <c r="EB19" s="23">
        <v>-73</v>
      </c>
      <c r="EC19" s="23">
        <v>-199</v>
      </c>
      <c r="ED19" s="23">
        <v>-332</v>
      </c>
      <c r="EE19" s="23">
        <v>-287</v>
      </c>
      <c r="EF19" s="23">
        <v>-190</v>
      </c>
      <c r="EG19" s="23">
        <v>-153</v>
      </c>
      <c r="EH19" s="23">
        <v>-116</v>
      </c>
      <c r="EI19" s="23">
        <v>-81</v>
      </c>
      <c r="EJ19" s="23">
        <v>-210</v>
      </c>
      <c r="EK19" s="23">
        <v>-119</v>
      </c>
      <c r="EL19" s="23">
        <v>138</v>
      </c>
      <c r="EM19" s="23">
        <v>35</v>
      </c>
      <c r="EN19" s="23">
        <v>-157</v>
      </c>
      <c r="EO19" s="23">
        <v>-284</v>
      </c>
      <c r="EP19" s="23">
        <v>-349</v>
      </c>
      <c r="EQ19" s="23">
        <v>-255</v>
      </c>
      <c r="ER19" s="23">
        <v>-181</v>
      </c>
      <c r="ES19" s="23">
        <v>-228</v>
      </c>
      <c r="ET19" s="23">
        <v>-189</v>
      </c>
      <c r="EU19" s="23">
        <v>-230</v>
      </c>
      <c r="EV19" s="23">
        <v>-164</v>
      </c>
      <c r="EW19" s="23">
        <v>-182</v>
      </c>
      <c r="EX19" s="23">
        <v>43</v>
      </c>
      <c r="EY19" s="23">
        <v>64</v>
      </c>
      <c r="EZ19" s="23">
        <v>-26</v>
      </c>
      <c r="FA19" s="23">
        <v>-228</v>
      </c>
      <c r="FB19" s="23">
        <v>-187</v>
      </c>
      <c r="FC19" s="23">
        <v>-211</v>
      </c>
      <c r="FD19" s="23">
        <v>-168</v>
      </c>
      <c r="FE19" s="23">
        <v>-207</v>
      </c>
      <c r="FF19" s="23">
        <v>-97</v>
      </c>
      <c r="FG19" s="23">
        <v>-172</v>
      </c>
      <c r="FH19" s="23">
        <v>-254</v>
      </c>
      <c r="FI19" s="23">
        <v>-204</v>
      </c>
      <c r="FJ19" s="23">
        <v>5</v>
      </c>
      <c r="FK19" s="23">
        <v>-30</v>
      </c>
      <c r="FL19" s="23">
        <v>-72</v>
      </c>
      <c r="FM19" s="23">
        <v>-225</v>
      </c>
      <c r="FN19" s="23">
        <v>-157</v>
      </c>
      <c r="FO19" s="23">
        <v>-72</v>
      </c>
      <c r="FP19" s="23">
        <v>-205</v>
      </c>
      <c r="FQ19" s="23">
        <v>-218</v>
      </c>
      <c r="FR19" s="23">
        <v>-139</v>
      </c>
      <c r="FS19" s="23">
        <v>-70</v>
      </c>
      <c r="FT19" s="23">
        <v>-112</v>
      </c>
      <c r="FU19" s="23">
        <v>-183</v>
      </c>
      <c r="FV19" s="23">
        <v>29</v>
      </c>
      <c r="FW19" s="23">
        <v>27</v>
      </c>
      <c r="FX19" s="23">
        <v>-193</v>
      </c>
      <c r="FY19" s="23">
        <v>-262</v>
      </c>
      <c r="FZ19" s="23">
        <v>-400</v>
      </c>
      <c r="GA19" s="23">
        <v>-314</v>
      </c>
      <c r="GB19" s="23">
        <v>-190</v>
      </c>
      <c r="GC19" s="23">
        <v>-206</v>
      </c>
      <c r="GD19" s="23">
        <v>-199</v>
      </c>
      <c r="GE19" s="23">
        <v>-224</v>
      </c>
      <c r="GF19" s="23">
        <v>-244</v>
      </c>
      <c r="GG19" s="23">
        <v>-215</v>
      </c>
      <c r="GH19" s="23">
        <v>-112</v>
      </c>
      <c r="GI19" s="23">
        <v>-15</v>
      </c>
      <c r="GJ19" s="23">
        <v>-143</v>
      </c>
      <c r="GK19" s="23">
        <v>-203</v>
      </c>
      <c r="GL19" s="23">
        <v>-204</v>
      </c>
      <c r="GM19" s="23">
        <v>-285</v>
      </c>
      <c r="GN19" s="23">
        <v>-196</v>
      </c>
      <c r="GO19" s="23">
        <v>-80</v>
      </c>
      <c r="GP19" s="23">
        <v>-28</v>
      </c>
      <c r="GQ19" s="23">
        <v>-123</v>
      </c>
      <c r="GR19" s="23">
        <v>-168</v>
      </c>
      <c r="GS19" s="23">
        <v>-97</v>
      </c>
      <c r="GT19" s="23">
        <v>13</v>
      </c>
      <c r="GU19" s="23">
        <v>91</v>
      </c>
      <c r="GV19" s="23">
        <v>-101</v>
      </c>
      <c r="GW19" s="23">
        <v>-210</v>
      </c>
      <c r="GX19" s="23">
        <v>-132</v>
      </c>
      <c r="GY19" s="23">
        <v>-215</v>
      </c>
      <c r="GZ19" s="23">
        <v>-246</v>
      </c>
      <c r="HA19" s="23">
        <v>-109</v>
      </c>
      <c r="HB19" s="23">
        <v>-74</v>
      </c>
      <c r="HC19" s="23">
        <v>-141</v>
      </c>
      <c r="HD19" s="23">
        <v>-108</v>
      </c>
      <c r="HE19" s="23">
        <v>-225</v>
      </c>
      <c r="HF19" s="23">
        <v>125</v>
      </c>
      <c r="HG19" s="23">
        <v>70</v>
      </c>
      <c r="HH19" s="23">
        <v>-73</v>
      </c>
      <c r="HI19" s="23">
        <v>-225</v>
      </c>
      <c r="HJ19" s="23">
        <v>-300</v>
      </c>
      <c r="HK19" s="23">
        <v>-237</v>
      </c>
      <c r="HL19" s="23">
        <v>-171</v>
      </c>
      <c r="HM19" s="23">
        <v>-173</v>
      </c>
      <c r="HN19" s="23">
        <v>-110</v>
      </c>
      <c r="HO19" s="23">
        <v>-174</v>
      </c>
      <c r="HP19" s="23">
        <v>-230</v>
      </c>
      <c r="HQ19" s="23">
        <v>-135</v>
      </c>
      <c r="HR19" s="23">
        <v>10</v>
      </c>
      <c r="HS19" s="23">
        <v>27</v>
      </c>
      <c r="HT19" s="23">
        <v>44</v>
      </c>
      <c r="HU19" s="23">
        <v>-77</v>
      </c>
      <c r="HV19" s="23">
        <v>-228</v>
      </c>
      <c r="HW19" s="23">
        <v>-162</v>
      </c>
      <c r="HX19" s="23">
        <v>-292</v>
      </c>
      <c r="HY19" s="23">
        <v>-148</v>
      </c>
      <c r="HZ19" s="23">
        <v>-68</v>
      </c>
      <c r="IA19" s="23">
        <v>-93</v>
      </c>
      <c r="IB19" s="23">
        <v>58</v>
      </c>
      <c r="IC19" s="23">
        <v>-97</v>
      </c>
      <c r="ID19" s="23">
        <v>144</v>
      </c>
      <c r="IE19" s="23">
        <v>-65</v>
      </c>
      <c r="IF19" s="23">
        <v>-106</v>
      </c>
      <c r="IG19" s="23">
        <v>-256</v>
      </c>
      <c r="IH19" s="23">
        <v>-250</v>
      </c>
      <c r="II19" s="23">
        <v>-331</v>
      </c>
      <c r="IJ19" s="23">
        <v>-173</v>
      </c>
      <c r="IK19" s="23">
        <v>-146</v>
      </c>
      <c r="IL19" s="23">
        <v>-94</v>
      </c>
      <c r="IM19" s="23">
        <v>-131</v>
      </c>
      <c r="IN19" s="23">
        <v>-163</v>
      </c>
      <c r="IO19" s="23">
        <v>-186</v>
      </c>
      <c r="IP19" s="23">
        <v>-130</v>
      </c>
      <c r="IQ19" s="23">
        <v>-82</v>
      </c>
      <c r="IR19" s="23">
        <v>-99</v>
      </c>
      <c r="IS19" s="23">
        <v>-115</v>
      </c>
      <c r="IT19" s="23">
        <v>-286</v>
      </c>
      <c r="IU19" s="23">
        <v>-172</v>
      </c>
      <c r="IV19" s="23">
        <v>-116</v>
      </c>
      <c r="IW19" s="23">
        <v>-69</v>
      </c>
      <c r="IX19" s="23">
        <v>-109</v>
      </c>
      <c r="IY19" s="23">
        <v>-38</v>
      </c>
      <c r="IZ19" s="23">
        <v>-113</v>
      </c>
      <c r="JA19" s="23">
        <v>-109</v>
      </c>
      <c r="JB19" s="23">
        <v>-52</v>
      </c>
      <c r="JC19" s="23">
        <v>-78</v>
      </c>
      <c r="JD19" s="23">
        <v>-73</v>
      </c>
      <c r="JE19" s="23">
        <v>-178</v>
      </c>
      <c r="JF19" s="23">
        <v>-232</v>
      </c>
      <c r="JG19" s="23">
        <v>-174</v>
      </c>
      <c r="JH19" s="23">
        <v>-181</v>
      </c>
      <c r="JI19" s="23">
        <v>-35</v>
      </c>
      <c r="JJ19" s="23">
        <v>-93</v>
      </c>
      <c r="JK19" s="23">
        <v>-122</v>
      </c>
      <c r="JL19" s="23">
        <v>-127</v>
      </c>
      <c r="JM19" s="23">
        <v>-108</v>
      </c>
      <c r="JN19" s="23">
        <v>65</v>
      </c>
      <c r="JO19" s="23">
        <v>81</v>
      </c>
      <c r="JP19" s="23">
        <v>72</v>
      </c>
      <c r="JQ19" s="23">
        <v>-165</v>
      </c>
      <c r="JR19" s="23">
        <v>-262</v>
      </c>
      <c r="JS19" s="23">
        <v>-224</v>
      </c>
      <c r="JT19" s="23">
        <v>-196</v>
      </c>
      <c r="JU19" s="23">
        <v>-115</v>
      </c>
      <c r="JV19" s="23">
        <v>-109</v>
      </c>
      <c r="JW19" s="23">
        <v>-101</v>
      </c>
      <c r="JX19" s="23">
        <v>-258</v>
      </c>
      <c r="JY19" s="23">
        <v>-175</v>
      </c>
      <c r="JZ19" s="23">
        <v>49</v>
      </c>
      <c r="KA19" s="23">
        <v>-12</v>
      </c>
      <c r="KB19" s="23">
        <v>-47</v>
      </c>
      <c r="KC19" s="23">
        <v>-84</v>
      </c>
      <c r="KD19" s="23">
        <v>-223</v>
      </c>
      <c r="KE19" s="23">
        <v>-191</v>
      </c>
      <c r="KF19" s="23">
        <v>-217</v>
      </c>
      <c r="KG19" s="23">
        <v>-91</v>
      </c>
      <c r="KH19" s="23">
        <v>12</v>
      </c>
      <c r="KI19" s="23">
        <v>-81</v>
      </c>
      <c r="KJ19" s="23">
        <v>-211</v>
      </c>
      <c r="KK19" s="23">
        <v>-126</v>
      </c>
      <c r="KL19" s="23">
        <v>26</v>
      </c>
      <c r="KM19" s="23">
        <v>144</v>
      </c>
      <c r="KN19" s="23">
        <v>145</v>
      </c>
      <c r="KO19" s="23">
        <v>0</v>
      </c>
    </row>
    <row r="20" spans="1:301">
      <c r="A20" s="22">
        <v>10</v>
      </c>
      <c r="B20" s="23">
        <v>-330</v>
      </c>
      <c r="C20" s="23">
        <v>-381</v>
      </c>
      <c r="D20" s="23">
        <v>-302</v>
      </c>
      <c r="E20" s="23">
        <v>-183</v>
      </c>
      <c r="F20" s="23">
        <v>-74</v>
      </c>
      <c r="G20" s="23">
        <v>-199</v>
      </c>
      <c r="H20" s="23">
        <v>-281</v>
      </c>
      <c r="I20" s="23">
        <v>-275</v>
      </c>
      <c r="J20" s="23">
        <v>-135</v>
      </c>
      <c r="K20" s="23">
        <v>-168</v>
      </c>
      <c r="L20" s="23">
        <v>-256</v>
      </c>
      <c r="M20" s="23">
        <v>-336</v>
      </c>
      <c r="N20" s="23">
        <v>-339</v>
      </c>
      <c r="O20" s="23">
        <v>-308</v>
      </c>
      <c r="P20" s="23">
        <v>-363</v>
      </c>
      <c r="Q20" s="23">
        <v>-314</v>
      </c>
      <c r="R20" s="23">
        <v>-348</v>
      </c>
      <c r="S20" s="23">
        <v>-253</v>
      </c>
      <c r="T20" s="23">
        <v>-284</v>
      </c>
      <c r="U20" s="23">
        <v>-208</v>
      </c>
      <c r="V20" s="23">
        <v>-132</v>
      </c>
      <c r="W20" s="23">
        <v>-153</v>
      </c>
      <c r="X20" s="23">
        <v>-247</v>
      </c>
      <c r="Y20" s="23">
        <v>-311</v>
      </c>
      <c r="Z20" s="23">
        <v>-305</v>
      </c>
      <c r="AA20" s="23">
        <v>-333</v>
      </c>
      <c r="AB20" s="23">
        <v>-400</v>
      </c>
      <c r="AC20" s="23">
        <v>-99999</v>
      </c>
      <c r="AD20" s="23">
        <v>-214</v>
      </c>
      <c r="AE20" s="23">
        <v>-223</v>
      </c>
      <c r="AF20" s="23">
        <v>-302</v>
      </c>
      <c r="AG20" s="23">
        <v>-281</v>
      </c>
      <c r="AH20" s="23">
        <v>-162</v>
      </c>
      <c r="AI20" s="23">
        <v>-138</v>
      </c>
      <c r="AJ20" s="23">
        <v>-299</v>
      </c>
      <c r="AK20" s="23">
        <v>-342</v>
      </c>
      <c r="AL20" s="23">
        <v>-439</v>
      </c>
      <c r="AM20" s="23">
        <v>-378</v>
      </c>
      <c r="AN20" s="23">
        <v>-351</v>
      </c>
      <c r="AO20" s="23">
        <v>-238</v>
      </c>
      <c r="AP20" s="23">
        <v>-241</v>
      </c>
      <c r="AQ20" s="23">
        <v>-269</v>
      </c>
      <c r="AR20" s="23">
        <v>-260</v>
      </c>
      <c r="AS20" s="23">
        <v>-180</v>
      </c>
      <c r="AT20" s="23">
        <v>-125</v>
      </c>
      <c r="AU20" s="23">
        <v>-110</v>
      </c>
      <c r="AV20" s="23">
        <v>-250</v>
      </c>
      <c r="AW20" s="23">
        <v>-311</v>
      </c>
      <c r="AX20" s="23">
        <v>-409</v>
      </c>
      <c r="AY20" s="23">
        <v>-497</v>
      </c>
      <c r="AZ20" s="23">
        <v>-284</v>
      </c>
      <c r="BA20" s="23">
        <v>-205</v>
      </c>
      <c r="BB20" s="23">
        <v>-196</v>
      </c>
      <c r="BC20" s="23">
        <v>-229</v>
      </c>
      <c r="BD20" s="23">
        <v>-238</v>
      </c>
      <c r="BE20" s="23">
        <v>-67</v>
      </c>
      <c r="BF20" s="23">
        <v>-58</v>
      </c>
      <c r="BG20" s="23">
        <v>-110</v>
      </c>
      <c r="BH20" s="23">
        <v>-287</v>
      </c>
      <c r="BI20" s="23">
        <v>-366</v>
      </c>
      <c r="BJ20" s="23">
        <v>-415</v>
      </c>
      <c r="BK20" s="23">
        <v>-428</v>
      </c>
      <c r="BL20" s="23">
        <v>-395</v>
      </c>
      <c r="BM20" s="23">
        <v>-341</v>
      </c>
      <c r="BN20" s="23">
        <v>-306</v>
      </c>
      <c r="BO20" s="23">
        <v>-300</v>
      </c>
      <c r="BP20" s="23">
        <v>-286</v>
      </c>
      <c r="BQ20" s="23">
        <v>-204</v>
      </c>
      <c r="BR20" s="23">
        <v>-195</v>
      </c>
      <c r="BS20" s="23">
        <v>-51</v>
      </c>
      <c r="BT20" s="23">
        <v>-168</v>
      </c>
      <c r="BU20" s="23">
        <v>-279</v>
      </c>
      <c r="BV20" s="23">
        <v>-304</v>
      </c>
      <c r="BW20" s="23">
        <v>-294</v>
      </c>
      <c r="BX20" s="23">
        <v>-260</v>
      </c>
      <c r="BY20" s="23">
        <v>-209</v>
      </c>
      <c r="BZ20" s="23">
        <v>-253</v>
      </c>
      <c r="CA20" s="23">
        <v>-205</v>
      </c>
      <c r="CB20" s="23">
        <v>-264</v>
      </c>
      <c r="CC20" s="23">
        <v>-236</v>
      </c>
      <c r="CD20" s="23">
        <v>-163</v>
      </c>
      <c r="CE20" s="23">
        <v>-164</v>
      </c>
      <c r="CF20" s="23">
        <v>-327</v>
      </c>
      <c r="CG20" s="23">
        <v>-439</v>
      </c>
      <c r="CH20" s="23">
        <v>-358</v>
      </c>
      <c r="CI20" s="23">
        <v>-277</v>
      </c>
      <c r="CJ20" s="23">
        <v>-268</v>
      </c>
      <c r="CK20" s="23">
        <v>-213</v>
      </c>
      <c r="CL20" s="23">
        <v>-173</v>
      </c>
      <c r="CM20" s="23">
        <v>-220</v>
      </c>
      <c r="CN20" s="23">
        <v>-295</v>
      </c>
      <c r="CO20" s="23">
        <v>-162</v>
      </c>
      <c r="CP20" s="23">
        <v>39</v>
      </c>
      <c r="CQ20" s="23">
        <v>-102</v>
      </c>
      <c r="CR20" s="23">
        <v>-225</v>
      </c>
      <c r="CS20" s="23">
        <v>-319</v>
      </c>
      <c r="CT20" s="23">
        <v>-319</v>
      </c>
      <c r="CU20" s="23">
        <v>-281</v>
      </c>
      <c r="CV20" s="23">
        <v>-248</v>
      </c>
      <c r="CW20" s="23">
        <v>-233</v>
      </c>
      <c r="CX20" s="23">
        <v>-181</v>
      </c>
      <c r="CY20" s="23">
        <v>-197</v>
      </c>
      <c r="CZ20" s="23">
        <v>-227</v>
      </c>
      <c r="DA20" s="23">
        <v>-254</v>
      </c>
      <c r="DB20" s="23">
        <v>-116</v>
      </c>
      <c r="DC20" s="23">
        <v>-148</v>
      </c>
      <c r="DD20" s="23">
        <v>-258</v>
      </c>
      <c r="DE20" s="23">
        <v>-341</v>
      </c>
      <c r="DF20" s="23">
        <v>-408</v>
      </c>
      <c r="DG20" s="23">
        <v>-399</v>
      </c>
      <c r="DH20" s="23">
        <v>-293</v>
      </c>
      <c r="DI20" s="23">
        <v>-276</v>
      </c>
      <c r="DJ20" s="23">
        <v>-213</v>
      </c>
      <c r="DK20" s="23">
        <v>-232</v>
      </c>
      <c r="DL20" s="23">
        <v>-273</v>
      </c>
      <c r="DM20" s="23">
        <v>-250</v>
      </c>
      <c r="DN20" s="23">
        <v>-151</v>
      </c>
      <c r="DO20" s="23">
        <v>-182</v>
      </c>
      <c r="DP20" s="23">
        <v>-191</v>
      </c>
      <c r="DQ20" s="23">
        <v>-390</v>
      </c>
      <c r="DR20" s="23">
        <v>-480</v>
      </c>
      <c r="DS20" s="23">
        <v>-416</v>
      </c>
      <c r="DT20" s="23">
        <v>-333</v>
      </c>
      <c r="DU20" s="23">
        <v>-262</v>
      </c>
      <c r="DV20" s="23">
        <v>-243</v>
      </c>
      <c r="DW20" s="23">
        <v>-265</v>
      </c>
      <c r="DX20" s="23">
        <v>-250</v>
      </c>
      <c r="DY20" s="23">
        <v>-193</v>
      </c>
      <c r="DZ20" s="23">
        <v>-143</v>
      </c>
      <c r="EA20" s="23">
        <v>-133</v>
      </c>
      <c r="EB20" s="23">
        <v>-170</v>
      </c>
      <c r="EC20" s="23">
        <v>-261</v>
      </c>
      <c r="ED20" s="23">
        <v>-377</v>
      </c>
      <c r="EE20" s="23">
        <v>-348</v>
      </c>
      <c r="EF20" s="23">
        <v>-273</v>
      </c>
      <c r="EG20" s="23">
        <v>-210</v>
      </c>
      <c r="EH20" s="23">
        <v>-174</v>
      </c>
      <c r="EI20" s="23">
        <v>-128</v>
      </c>
      <c r="EJ20" s="23">
        <v>-231</v>
      </c>
      <c r="EK20" s="23">
        <v>-129</v>
      </c>
      <c r="EL20" s="23">
        <v>27</v>
      </c>
      <c r="EM20" s="23">
        <v>-28</v>
      </c>
      <c r="EN20" s="23">
        <v>-255</v>
      </c>
      <c r="EO20" s="23">
        <v>-343</v>
      </c>
      <c r="EP20" s="23">
        <v>-418</v>
      </c>
      <c r="EQ20" s="23">
        <v>-320</v>
      </c>
      <c r="ER20" s="23">
        <v>-216</v>
      </c>
      <c r="ES20" s="23">
        <v>-253</v>
      </c>
      <c r="ET20" s="23">
        <v>-215</v>
      </c>
      <c r="EU20" s="23">
        <v>-191</v>
      </c>
      <c r="EV20" s="23">
        <v>-186</v>
      </c>
      <c r="EW20" s="23">
        <v>-164</v>
      </c>
      <c r="EX20" s="23">
        <v>-25</v>
      </c>
      <c r="EY20" s="23">
        <v>-84</v>
      </c>
      <c r="EZ20" s="23">
        <v>-138</v>
      </c>
      <c r="FA20" s="23">
        <v>-268</v>
      </c>
      <c r="FB20" s="23">
        <v>-293</v>
      </c>
      <c r="FC20" s="23">
        <v>-303</v>
      </c>
      <c r="FD20" s="23">
        <v>-276</v>
      </c>
      <c r="FE20" s="23">
        <v>-290</v>
      </c>
      <c r="FF20" s="23">
        <v>-153</v>
      </c>
      <c r="FG20" s="23">
        <v>-178</v>
      </c>
      <c r="FH20" s="23">
        <v>-224</v>
      </c>
      <c r="FI20" s="23">
        <v>-218</v>
      </c>
      <c r="FJ20" s="23">
        <v>-105</v>
      </c>
      <c r="FK20" s="23">
        <v>-99</v>
      </c>
      <c r="FL20" s="23">
        <v>-103</v>
      </c>
      <c r="FM20" s="23">
        <v>-327</v>
      </c>
      <c r="FN20" s="23">
        <v>-255</v>
      </c>
      <c r="FO20" s="23">
        <v>-154</v>
      </c>
      <c r="FP20" s="23">
        <v>-280</v>
      </c>
      <c r="FQ20" s="23">
        <v>-246</v>
      </c>
      <c r="FR20" s="23">
        <v>-203</v>
      </c>
      <c r="FS20" s="23">
        <v>-113</v>
      </c>
      <c r="FT20" s="23">
        <v>-159</v>
      </c>
      <c r="FU20" s="23">
        <v>-165</v>
      </c>
      <c r="FV20" s="23">
        <v>-27</v>
      </c>
      <c r="FW20" s="23">
        <v>-136</v>
      </c>
      <c r="FX20" s="23">
        <v>-287</v>
      </c>
      <c r="FY20" s="23">
        <v>-370</v>
      </c>
      <c r="FZ20" s="23">
        <v>-412</v>
      </c>
      <c r="GA20" s="23">
        <v>-341</v>
      </c>
      <c r="GB20" s="23">
        <v>-276</v>
      </c>
      <c r="GC20" s="23">
        <v>-240</v>
      </c>
      <c r="GD20" s="23">
        <v>-236</v>
      </c>
      <c r="GE20" s="23">
        <v>-225</v>
      </c>
      <c r="GF20" s="23">
        <v>-251</v>
      </c>
      <c r="GG20" s="23">
        <v>-217</v>
      </c>
      <c r="GH20" s="23">
        <v>-120</v>
      </c>
      <c r="GI20" s="23">
        <v>-109</v>
      </c>
      <c r="GJ20" s="23">
        <v>-243</v>
      </c>
      <c r="GK20" s="23">
        <v>-308</v>
      </c>
      <c r="GL20" s="23">
        <v>-313</v>
      </c>
      <c r="GM20" s="23">
        <v>-363</v>
      </c>
      <c r="GN20" s="23">
        <v>-290</v>
      </c>
      <c r="GO20" s="23">
        <v>-212</v>
      </c>
      <c r="GP20" s="23">
        <v>-100</v>
      </c>
      <c r="GQ20" s="23">
        <v>-147</v>
      </c>
      <c r="GR20" s="23">
        <v>-189</v>
      </c>
      <c r="GS20" s="23">
        <v>-137</v>
      </c>
      <c r="GT20" s="23">
        <v>-77</v>
      </c>
      <c r="GU20" s="23">
        <v>-23</v>
      </c>
      <c r="GV20" s="23">
        <v>-198</v>
      </c>
      <c r="GW20" s="23">
        <v>-289</v>
      </c>
      <c r="GX20" s="23">
        <v>-287</v>
      </c>
      <c r="GY20" s="23">
        <v>-295</v>
      </c>
      <c r="GZ20" s="23">
        <v>-272</v>
      </c>
      <c r="HA20" s="23">
        <v>-183</v>
      </c>
      <c r="HB20" s="23">
        <v>-115</v>
      </c>
      <c r="HC20" s="23">
        <v>-150</v>
      </c>
      <c r="HD20" s="23">
        <v>-116</v>
      </c>
      <c r="HE20" s="23">
        <v>-182</v>
      </c>
      <c r="HF20" s="23">
        <v>-99999</v>
      </c>
      <c r="HG20" s="23">
        <v>-32</v>
      </c>
      <c r="HH20" s="23">
        <v>-99999</v>
      </c>
      <c r="HI20" s="23">
        <v>-283</v>
      </c>
      <c r="HJ20" s="23">
        <v>-342</v>
      </c>
      <c r="HK20" s="23">
        <v>-309</v>
      </c>
      <c r="HL20" s="23">
        <v>-204</v>
      </c>
      <c r="HM20" s="23">
        <v>-191</v>
      </c>
      <c r="HN20" s="23">
        <v>-119</v>
      </c>
      <c r="HO20" s="23">
        <v>-146</v>
      </c>
      <c r="HP20" s="23">
        <v>-179</v>
      </c>
      <c r="HQ20" s="23">
        <v>-89</v>
      </c>
      <c r="HR20" s="23">
        <v>-99999</v>
      </c>
      <c r="HS20" s="23">
        <v>-99999</v>
      </c>
      <c r="HT20" s="23">
        <v>-42</v>
      </c>
      <c r="HU20" s="23">
        <v>-134</v>
      </c>
      <c r="HV20" s="23">
        <v>-291</v>
      </c>
      <c r="HW20" s="23">
        <v>-273</v>
      </c>
      <c r="HX20" s="23">
        <v>-311</v>
      </c>
      <c r="HY20" s="23">
        <v>-200</v>
      </c>
      <c r="HZ20" s="23">
        <v>-119</v>
      </c>
      <c r="IA20" s="23">
        <v>-72</v>
      </c>
      <c r="IB20" s="23">
        <v>-10</v>
      </c>
      <c r="IC20" s="23">
        <v>-57</v>
      </c>
      <c r="ID20" s="23">
        <v>53</v>
      </c>
      <c r="IE20" s="23">
        <v>-142</v>
      </c>
      <c r="IF20" s="23">
        <v>-155</v>
      </c>
      <c r="IG20" s="23">
        <v>-341</v>
      </c>
      <c r="IH20" s="23">
        <v>-366</v>
      </c>
      <c r="II20" s="23">
        <v>-366</v>
      </c>
      <c r="IJ20" s="23">
        <v>-208</v>
      </c>
      <c r="IK20" s="23">
        <v>-179</v>
      </c>
      <c r="IL20" s="23">
        <v>-148</v>
      </c>
      <c r="IM20" s="23">
        <v>-129</v>
      </c>
      <c r="IN20" s="23">
        <v>-111</v>
      </c>
      <c r="IO20" s="23">
        <v>-134</v>
      </c>
      <c r="IP20" s="23">
        <v>-61</v>
      </c>
      <c r="IQ20" s="23">
        <v>-133</v>
      </c>
      <c r="IR20" s="23">
        <v>-140</v>
      </c>
      <c r="IS20" s="23">
        <v>-164</v>
      </c>
      <c r="IT20" s="23">
        <v>-250</v>
      </c>
      <c r="IU20" s="23">
        <v>-212</v>
      </c>
      <c r="IV20" s="23">
        <v>-145</v>
      </c>
      <c r="IW20" s="23">
        <v>-99999</v>
      </c>
      <c r="IX20" s="23">
        <v>-109</v>
      </c>
      <c r="IY20" s="23">
        <v>-7</v>
      </c>
      <c r="IZ20" s="23">
        <v>-76</v>
      </c>
      <c r="JA20" s="23">
        <v>2</v>
      </c>
      <c r="JB20" s="23">
        <v>4</v>
      </c>
      <c r="JC20" s="23">
        <v>-73</v>
      </c>
      <c r="JD20" s="23">
        <v>-128</v>
      </c>
      <c r="JE20" s="23">
        <v>-197</v>
      </c>
      <c r="JF20" s="23">
        <v>-241</v>
      </c>
      <c r="JG20" s="23">
        <v>-183</v>
      </c>
      <c r="JH20" s="23">
        <v>-217</v>
      </c>
      <c r="JI20" s="23">
        <v>-97</v>
      </c>
      <c r="JJ20" s="23">
        <v>-97</v>
      </c>
      <c r="JK20" s="23">
        <v>-92</v>
      </c>
      <c r="JL20" s="23">
        <v>-55</v>
      </c>
      <c r="JM20" s="23">
        <v>-48</v>
      </c>
      <c r="JN20" s="23">
        <v>17</v>
      </c>
      <c r="JO20" s="23">
        <v>23</v>
      </c>
      <c r="JP20" s="23">
        <v>-54</v>
      </c>
      <c r="JQ20" s="23">
        <v>-193</v>
      </c>
      <c r="JR20" s="23">
        <v>-301</v>
      </c>
      <c r="JS20" s="23">
        <v>-264</v>
      </c>
      <c r="JT20" s="23">
        <v>-224</v>
      </c>
      <c r="JU20" s="23">
        <v>-135</v>
      </c>
      <c r="JV20" s="23">
        <v>-95</v>
      </c>
      <c r="JW20" s="23">
        <v>-76</v>
      </c>
      <c r="JX20" s="23">
        <v>-179</v>
      </c>
      <c r="JY20" s="23">
        <v>-111</v>
      </c>
      <c r="JZ20" s="23">
        <v>10</v>
      </c>
      <c r="KA20" s="23">
        <v>-52</v>
      </c>
      <c r="KB20" s="23">
        <v>-139</v>
      </c>
      <c r="KC20" s="23">
        <v>-133</v>
      </c>
      <c r="KD20" s="23">
        <v>-256</v>
      </c>
      <c r="KE20" s="23">
        <v>-247</v>
      </c>
      <c r="KF20" s="23">
        <v>-234</v>
      </c>
      <c r="KG20" s="23">
        <v>-124</v>
      </c>
      <c r="KH20" s="23">
        <v>-58</v>
      </c>
      <c r="KI20" s="23">
        <v>-97</v>
      </c>
      <c r="KJ20" s="23">
        <v>-137</v>
      </c>
      <c r="KK20" s="23">
        <v>-70</v>
      </c>
      <c r="KL20" s="23">
        <v>-13</v>
      </c>
      <c r="KM20" s="23">
        <v>52</v>
      </c>
      <c r="KN20" s="23">
        <v>27</v>
      </c>
      <c r="KO20" s="23">
        <v>0</v>
      </c>
    </row>
    <row r="21" spans="1:301">
      <c r="A21" s="22">
        <v>11</v>
      </c>
      <c r="B21" s="23" t="s">
        <v>22</v>
      </c>
      <c r="C21" s="23" t="s">
        <v>22</v>
      </c>
      <c r="D21" s="23" t="s">
        <v>22</v>
      </c>
      <c r="E21" s="23" t="s">
        <v>22</v>
      </c>
      <c r="F21" s="23" t="s">
        <v>22</v>
      </c>
      <c r="G21" s="23" t="s">
        <v>22</v>
      </c>
      <c r="H21" s="23" t="s">
        <v>22</v>
      </c>
      <c r="I21" s="23" t="s">
        <v>22</v>
      </c>
      <c r="J21" s="23" t="s">
        <v>22</v>
      </c>
      <c r="K21" s="23" t="s">
        <v>22</v>
      </c>
      <c r="L21" s="23" t="s">
        <v>22</v>
      </c>
      <c r="M21" s="23" t="s">
        <v>22</v>
      </c>
      <c r="N21" s="23" t="s">
        <v>22</v>
      </c>
      <c r="O21" s="23" t="s">
        <v>22</v>
      </c>
      <c r="P21" s="23" t="s">
        <v>22</v>
      </c>
      <c r="Q21" s="23" t="s">
        <v>22</v>
      </c>
      <c r="R21" s="23" t="s">
        <v>22</v>
      </c>
      <c r="S21" s="23" t="s">
        <v>22</v>
      </c>
      <c r="T21" s="23" t="s">
        <v>22</v>
      </c>
      <c r="U21" s="23" t="s">
        <v>22</v>
      </c>
      <c r="V21" s="23" t="s">
        <v>22</v>
      </c>
      <c r="W21" s="23" t="s">
        <v>22</v>
      </c>
      <c r="X21" s="23" t="s">
        <v>22</v>
      </c>
      <c r="Y21" s="23" t="s">
        <v>22</v>
      </c>
      <c r="Z21" s="23" t="s">
        <v>22</v>
      </c>
      <c r="AA21" s="23" t="s">
        <v>22</v>
      </c>
      <c r="AB21" s="23" t="s">
        <v>22</v>
      </c>
      <c r="AC21" s="23" t="s">
        <v>22</v>
      </c>
      <c r="AD21" s="23" t="s">
        <v>22</v>
      </c>
      <c r="AE21" s="23" t="s">
        <v>22</v>
      </c>
      <c r="AF21" s="23" t="s">
        <v>22</v>
      </c>
      <c r="AG21" s="23" t="s">
        <v>22</v>
      </c>
      <c r="AH21" s="23" t="s">
        <v>22</v>
      </c>
      <c r="AI21" s="23" t="s">
        <v>22</v>
      </c>
      <c r="AJ21" s="23" t="s">
        <v>22</v>
      </c>
      <c r="AK21" s="23" t="s">
        <v>22</v>
      </c>
      <c r="AL21" s="23" t="s">
        <v>22</v>
      </c>
      <c r="AM21" s="23" t="s">
        <v>22</v>
      </c>
      <c r="AN21" s="23" t="s">
        <v>22</v>
      </c>
      <c r="AO21" s="23" t="s">
        <v>22</v>
      </c>
      <c r="AP21" s="23" t="s">
        <v>22</v>
      </c>
      <c r="AQ21" s="23" t="s">
        <v>22</v>
      </c>
      <c r="AR21" s="23" t="s">
        <v>22</v>
      </c>
      <c r="AS21" s="23" t="s">
        <v>22</v>
      </c>
      <c r="AT21" s="23" t="s">
        <v>22</v>
      </c>
      <c r="AU21" s="23" t="s">
        <v>22</v>
      </c>
      <c r="AV21" s="23" t="s">
        <v>22</v>
      </c>
      <c r="AW21" s="23" t="s">
        <v>22</v>
      </c>
      <c r="AX21" s="23" t="s">
        <v>22</v>
      </c>
      <c r="AY21" s="23" t="s">
        <v>22</v>
      </c>
      <c r="AZ21" s="23" t="s">
        <v>22</v>
      </c>
      <c r="BA21" s="23" t="s">
        <v>22</v>
      </c>
      <c r="BB21" s="23" t="s">
        <v>22</v>
      </c>
      <c r="BC21" s="23" t="s">
        <v>22</v>
      </c>
      <c r="BD21" s="23" t="s">
        <v>22</v>
      </c>
      <c r="BE21" s="23" t="s">
        <v>22</v>
      </c>
      <c r="BF21" s="23" t="s">
        <v>22</v>
      </c>
      <c r="BG21" s="23" t="s">
        <v>22</v>
      </c>
      <c r="BH21" s="23" t="s">
        <v>22</v>
      </c>
      <c r="BI21" s="23" t="s">
        <v>22</v>
      </c>
      <c r="BJ21" s="23" t="s">
        <v>22</v>
      </c>
      <c r="BK21" s="23" t="s">
        <v>22</v>
      </c>
      <c r="BL21" s="23" t="s">
        <v>22</v>
      </c>
      <c r="BM21" s="23" t="s">
        <v>22</v>
      </c>
      <c r="BN21" s="23" t="s">
        <v>22</v>
      </c>
      <c r="BO21" s="23" t="s">
        <v>22</v>
      </c>
      <c r="BP21" s="23" t="s">
        <v>22</v>
      </c>
      <c r="BQ21" s="23" t="s">
        <v>22</v>
      </c>
      <c r="BR21" s="23" t="s">
        <v>22</v>
      </c>
      <c r="BS21" s="23" t="s">
        <v>22</v>
      </c>
      <c r="BT21" s="23" t="s">
        <v>22</v>
      </c>
      <c r="BU21" s="23" t="s">
        <v>22</v>
      </c>
      <c r="BV21" s="23" t="s">
        <v>22</v>
      </c>
      <c r="BW21" s="23" t="s">
        <v>22</v>
      </c>
      <c r="BX21" s="23" t="s">
        <v>22</v>
      </c>
      <c r="BY21" s="23" t="s">
        <v>22</v>
      </c>
      <c r="BZ21" s="23" t="s">
        <v>22</v>
      </c>
      <c r="CA21" s="23" t="s">
        <v>22</v>
      </c>
      <c r="CB21" s="23" t="s">
        <v>22</v>
      </c>
      <c r="CC21" s="23" t="s">
        <v>22</v>
      </c>
      <c r="CD21" s="23" t="s">
        <v>22</v>
      </c>
      <c r="CE21" s="23" t="s">
        <v>22</v>
      </c>
      <c r="CF21" s="23" t="s">
        <v>22</v>
      </c>
      <c r="CG21" s="23" t="s">
        <v>22</v>
      </c>
      <c r="CH21" s="23" t="s">
        <v>22</v>
      </c>
      <c r="CI21" s="23" t="s">
        <v>22</v>
      </c>
      <c r="CJ21" s="23" t="s">
        <v>22</v>
      </c>
      <c r="CK21" s="23" t="s">
        <v>22</v>
      </c>
      <c r="CL21" s="23" t="s">
        <v>22</v>
      </c>
      <c r="CM21" s="23" t="s">
        <v>22</v>
      </c>
      <c r="CN21" s="23" t="s">
        <v>22</v>
      </c>
      <c r="CO21" s="23" t="s">
        <v>22</v>
      </c>
      <c r="CP21" s="23" t="s">
        <v>22</v>
      </c>
      <c r="CQ21" s="23" t="s">
        <v>22</v>
      </c>
      <c r="CR21" s="23" t="s">
        <v>22</v>
      </c>
      <c r="CS21" s="23" t="s">
        <v>22</v>
      </c>
      <c r="CT21" s="23" t="s">
        <v>22</v>
      </c>
      <c r="CU21" s="23" t="s">
        <v>22</v>
      </c>
      <c r="CV21" s="23" t="s">
        <v>22</v>
      </c>
      <c r="CW21" s="23" t="s">
        <v>22</v>
      </c>
      <c r="CX21" s="23" t="s">
        <v>22</v>
      </c>
      <c r="CY21" s="23" t="s">
        <v>22</v>
      </c>
      <c r="CZ21" s="23" t="s">
        <v>22</v>
      </c>
      <c r="DA21" s="23" t="s">
        <v>22</v>
      </c>
      <c r="DB21" s="23" t="s">
        <v>22</v>
      </c>
      <c r="DC21" s="23" t="s">
        <v>22</v>
      </c>
      <c r="DD21" s="23" t="s">
        <v>22</v>
      </c>
      <c r="DE21" s="23" t="s">
        <v>22</v>
      </c>
      <c r="DF21" s="23" t="s">
        <v>22</v>
      </c>
      <c r="DG21" s="23" t="s">
        <v>22</v>
      </c>
      <c r="DH21" s="23" t="s">
        <v>22</v>
      </c>
      <c r="DI21" s="23" t="s">
        <v>22</v>
      </c>
      <c r="DJ21" s="23" t="s">
        <v>22</v>
      </c>
      <c r="DK21" s="23" t="s">
        <v>22</v>
      </c>
      <c r="DL21" s="23" t="s">
        <v>22</v>
      </c>
      <c r="DM21" s="23" t="s">
        <v>22</v>
      </c>
      <c r="DN21" s="23" t="s">
        <v>22</v>
      </c>
      <c r="DO21" s="23" t="s">
        <v>22</v>
      </c>
      <c r="DP21" s="23" t="s">
        <v>22</v>
      </c>
      <c r="DQ21" s="23" t="s">
        <v>22</v>
      </c>
      <c r="DR21" s="23" t="s">
        <v>22</v>
      </c>
      <c r="DS21" s="23" t="s">
        <v>22</v>
      </c>
      <c r="DT21" s="23" t="s">
        <v>22</v>
      </c>
      <c r="DU21" s="23" t="s">
        <v>22</v>
      </c>
      <c r="DV21" s="23" t="s">
        <v>22</v>
      </c>
      <c r="DW21" s="23" t="s">
        <v>22</v>
      </c>
      <c r="DX21" s="23" t="s">
        <v>22</v>
      </c>
      <c r="DY21" s="23" t="s">
        <v>22</v>
      </c>
      <c r="DZ21" s="23" t="s">
        <v>22</v>
      </c>
      <c r="EA21" s="23" t="s">
        <v>22</v>
      </c>
      <c r="EB21" s="23" t="s">
        <v>22</v>
      </c>
      <c r="EC21" s="23" t="s">
        <v>22</v>
      </c>
      <c r="ED21" s="23" t="s">
        <v>22</v>
      </c>
      <c r="EE21" s="23" t="s">
        <v>22</v>
      </c>
      <c r="EF21" s="23" t="s">
        <v>22</v>
      </c>
      <c r="EG21" s="23" t="s">
        <v>22</v>
      </c>
      <c r="EH21" s="23" t="s">
        <v>22</v>
      </c>
      <c r="EI21" s="23" t="s">
        <v>22</v>
      </c>
      <c r="EJ21" s="23" t="s">
        <v>22</v>
      </c>
      <c r="EK21" s="23" t="s">
        <v>22</v>
      </c>
      <c r="EL21" s="23" t="s">
        <v>22</v>
      </c>
      <c r="EM21" s="23" t="s">
        <v>22</v>
      </c>
      <c r="EN21" s="23" t="s">
        <v>22</v>
      </c>
      <c r="EO21" s="23" t="s">
        <v>22</v>
      </c>
      <c r="EP21" s="23" t="s">
        <v>22</v>
      </c>
      <c r="EQ21" s="23" t="s">
        <v>22</v>
      </c>
      <c r="ER21" s="23" t="s">
        <v>22</v>
      </c>
      <c r="ES21" s="23" t="s">
        <v>22</v>
      </c>
      <c r="ET21" s="23" t="s">
        <v>22</v>
      </c>
      <c r="EU21" s="23" t="s">
        <v>22</v>
      </c>
      <c r="EV21" s="23" t="s">
        <v>22</v>
      </c>
      <c r="EW21" s="23" t="s">
        <v>22</v>
      </c>
      <c r="EX21" s="23" t="s">
        <v>22</v>
      </c>
      <c r="EY21" s="23" t="s">
        <v>22</v>
      </c>
      <c r="EZ21" s="23" t="s">
        <v>22</v>
      </c>
      <c r="FA21" s="23" t="s">
        <v>22</v>
      </c>
      <c r="FB21" s="23" t="s">
        <v>22</v>
      </c>
      <c r="FC21" s="23" t="s">
        <v>22</v>
      </c>
      <c r="FD21" s="23" t="s">
        <v>22</v>
      </c>
      <c r="FE21" s="23" t="s">
        <v>22</v>
      </c>
      <c r="FF21" s="23" t="s">
        <v>22</v>
      </c>
      <c r="FG21" s="23" t="s">
        <v>22</v>
      </c>
      <c r="FH21" s="23" t="s">
        <v>22</v>
      </c>
      <c r="FI21" s="23" t="s">
        <v>22</v>
      </c>
      <c r="FJ21" s="23" t="s">
        <v>22</v>
      </c>
      <c r="FK21" s="23" t="s">
        <v>22</v>
      </c>
      <c r="FL21" s="23" t="s">
        <v>22</v>
      </c>
      <c r="FM21" s="23" t="s">
        <v>22</v>
      </c>
      <c r="FN21" s="23" t="s">
        <v>22</v>
      </c>
      <c r="FO21" s="23" t="s">
        <v>22</v>
      </c>
      <c r="FP21" s="23" t="s">
        <v>22</v>
      </c>
      <c r="FQ21" s="23" t="s">
        <v>22</v>
      </c>
      <c r="FR21" s="23" t="s">
        <v>22</v>
      </c>
      <c r="FS21" s="23" t="s">
        <v>22</v>
      </c>
      <c r="FT21" s="23" t="s">
        <v>22</v>
      </c>
      <c r="FU21" s="23" t="s">
        <v>22</v>
      </c>
      <c r="FV21" s="23" t="s">
        <v>22</v>
      </c>
      <c r="FW21" s="23" t="s">
        <v>22</v>
      </c>
      <c r="FX21" s="23" t="s">
        <v>22</v>
      </c>
      <c r="FY21" s="23" t="s">
        <v>22</v>
      </c>
      <c r="FZ21" s="23" t="s">
        <v>22</v>
      </c>
      <c r="GA21" s="23" t="s">
        <v>22</v>
      </c>
      <c r="GB21" s="23" t="s">
        <v>22</v>
      </c>
      <c r="GC21" s="23" t="s">
        <v>22</v>
      </c>
      <c r="GD21" s="23" t="s">
        <v>22</v>
      </c>
      <c r="GE21" s="23" t="s">
        <v>22</v>
      </c>
      <c r="GF21" s="23" t="s">
        <v>22</v>
      </c>
      <c r="GG21" s="23" t="s">
        <v>22</v>
      </c>
      <c r="GH21" s="23" t="s">
        <v>22</v>
      </c>
      <c r="GI21" s="23" t="s">
        <v>22</v>
      </c>
      <c r="GJ21" s="23" t="s">
        <v>22</v>
      </c>
      <c r="GK21" s="23" t="s">
        <v>22</v>
      </c>
      <c r="GL21" s="23" t="s">
        <v>22</v>
      </c>
      <c r="GM21" s="23" t="s">
        <v>22</v>
      </c>
      <c r="GN21" s="23" t="s">
        <v>22</v>
      </c>
      <c r="GO21" s="23" t="s">
        <v>22</v>
      </c>
      <c r="GP21" s="23" t="s">
        <v>22</v>
      </c>
      <c r="GQ21" s="23" t="s">
        <v>22</v>
      </c>
      <c r="GR21" s="23" t="s">
        <v>22</v>
      </c>
      <c r="GS21" s="23" t="s">
        <v>22</v>
      </c>
      <c r="GT21" s="23" t="s">
        <v>22</v>
      </c>
      <c r="GU21" s="23" t="s">
        <v>22</v>
      </c>
      <c r="GV21" s="23" t="s">
        <v>22</v>
      </c>
      <c r="GW21" s="23" t="s">
        <v>22</v>
      </c>
      <c r="GX21" s="23" t="s">
        <v>22</v>
      </c>
      <c r="GY21" s="23" t="s">
        <v>22</v>
      </c>
      <c r="GZ21" s="23" t="s">
        <v>22</v>
      </c>
      <c r="HA21" s="23" t="s">
        <v>22</v>
      </c>
      <c r="HB21" s="23" t="s">
        <v>22</v>
      </c>
      <c r="HC21" s="23" t="s">
        <v>22</v>
      </c>
      <c r="HD21" s="23" t="s">
        <v>22</v>
      </c>
      <c r="HE21" s="23" t="s">
        <v>22</v>
      </c>
      <c r="HF21" s="23">
        <v>244</v>
      </c>
      <c r="HG21" s="23">
        <v>13</v>
      </c>
      <c r="HH21" s="23">
        <v>-184</v>
      </c>
      <c r="HI21" s="23">
        <v>-281</v>
      </c>
      <c r="HJ21" s="23">
        <v>-380</v>
      </c>
      <c r="HK21" s="23">
        <v>-322</v>
      </c>
      <c r="HL21" s="23">
        <v>-198</v>
      </c>
      <c r="HM21" s="23">
        <v>-183</v>
      </c>
      <c r="HN21" s="23">
        <v>-118</v>
      </c>
      <c r="HO21" s="23">
        <v>-285</v>
      </c>
      <c r="HP21" s="23">
        <v>-288</v>
      </c>
      <c r="HQ21" s="23">
        <v>-137</v>
      </c>
      <c r="HR21" s="23">
        <v>72</v>
      </c>
      <c r="HS21" s="23">
        <v>10</v>
      </c>
      <c r="HT21" s="23">
        <v>-8</v>
      </c>
      <c r="HU21" s="23">
        <v>-36</v>
      </c>
      <c r="HV21" s="23">
        <v>-268</v>
      </c>
      <c r="HW21" s="23">
        <v>-256</v>
      </c>
      <c r="HX21" s="23">
        <v>-350</v>
      </c>
      <c r="HY21" s="23">
        <v>-221</v>
      </c>
      <c r="HZ21" s="23">
        <v>-117</v>
      </c>
      <c r="IA21" s="23">
        <v>-109</v>
      </c>
      <c r="IB21" s="23">
        <v>-26</v>
      </c>
      <c r="IC21" s="23">
        <v>-76</v>
      </c>
      <c r="ID21" s="23">
        <v>79</v>
      </c>
      <c r="IE21" s="23">
        <v>-171</v>
      </c>
      <c r="IF21" s="23">
        <v>-138</v>
      </c>
      <c r="IG21" s="23">
        <v>-388</v>
      </c>
      <c r="IH21" s="23">
        <v>-361</v>
      </c>
      <c r="II21" s="23">
        <v>-394</v>
      </c>
      <c r="IJ21" s="23">
        <v>-202</v>
      </c>
      <c r="IK21" s="23">
        <v>-249</v>
      </c>
      <c r="IL21" s="23">
        <v>-142</v>
      </c>
      <c r="IM21" s="23">
        <v>-193</v>
      </c>
      <c r="IN21" s="23">
        <v>-210</v>
      </c>
      <c r="IO21" s="23">
        <v>-218</v>
      </c>
      <c r="IP21" s="23">
        <v>-14</v>
      </c>
      <c r="IQ21" s="23">
        <v>-74</v>
      </c>
      <c r="IR21" s="23">
        <v>-87</v>
      </c>
      <c r="IS21" s="23">
        <v>-164</v>
      </c>
      <c r="IT21" s="23">
        <v>-326</v>
      </c>
      <c r="IU21" s="23">
        <v>-170</v>
      </c>
      <c r="IV21" s="23">
        <v>-123</v>
      </c>
      <c r="IW21" s="23">
        <v>-114</v>
      </c>
      <c r="IX21" s="23">
        <v>-96</v>
      </c>
      <c r="IY21" s="23">
        <v>20</v>
      </c>
      <c r="IZ21" s="23">
        <v>-115</v>
      </c>
      <c r="JA21" s="23">
        <v>46</v>
      </c>
      <c r="JB21" s="23">
        <v>38</v>
      </c>
      <c r="JC21" s="23">
        <v>-64</v>
      </c>
      <c r="JD21" s="23">
        <v>-92</v>
      </c>
      <c r="JE21" s="23">
        <v>-197</v>
      </c>
      <c r="JF21" s="23">
        <v>-99999</v>
      </c>
      <c r="JG21" s="23">
        <v>-99999</v>
      </c>
      <c r="JH21" s="23">
        <v>-209</v>
      </c>
      <c r="JI21" s="23">
        <v>-39</v>
      </c>
      <c r="JJ21" s="23">
        <v>-87</v>
      </c>
      <c r="JK21" s="23">
        <v>-140</v>
      </c>
      <c r="JL21" s="23">
        <v>-65</v>
      </c>
      <c r="JM21" s="23">
        <v>-53</v>
      </c>
      <c r="JN21" s="23">
        <v>48</v>
      </c>
      <c r="JO21" s="23">
        <v>51</v>
      </c>
      <c r="JP21" s="23">
        <v>90</v>
      </c>
      <c r="JQ21" s="23">
        <v>-152</v>
      </c>
      <c r="JR21" s="23">
        <v>-301</v>
      </c>
      <c r="JS21" s="23">
        <v>-227</v>
      </c>
      <c r="JT21" s="23">
        <v>-207</v>
      </c>
      <c r="JU21" s="23">
        <v>-103</v>
      </c>
      <c r="JV21" s="23">
        <v>-89</v>
      </c>
      <c r="JW21" s="23">
        <v>-114</v>
      </c>
      <c r="JX21" s="23">
        <v>-266</v>
      </c>
      <c r="JY21" s="23">
        <v>-153</v>
      </c>
      <c r="JZ21" s="23">
        <v>70</v>
      </c>
      <c r="KA21" s="23">
        <v>-61</v>
      </c>
      <c r="KB21" s="23">
        <v>-135</v>
      </c>
      <c r="KC21" s="23">
        <v>-92</v>
      </c>
      <c r="KD21" s="23">
        <v>-204</v>
      </c>
      <c r="KE21" s="23">
        <v>-226</v>
      </c>
      <c r="KF21" s="23">
        <v>-223</v>
      </c>
      <c r="KG21" s="23">
        <v>-121</v>
      </c>
      <c r="KH21" s="23">
        <v>-28</v>
      </c>
      <c r="KI21" s="23">
        <v>-155</v>
      </c>
      <c r="KJ21" s="23">
        <v>-279</v>
      </c>
      <c r="KK21" s="23">
        <v>-130</v>
      </c>
      <c r="KL21" s="23">
        <v>-14</v>
      </c>
      <c r="KM21" s="23">
        <v>89</v>
      </c>
      <c r="KN21" s="23">
        <v>117</v>
      </c>
      <c r="KO21" s="23">
        <v>0</v>
      </c>
    </row>
    <row r="22" spans="1:301">
      <c r="A22" s="22">
        <v>12</v>
      </c>
      <c r="B22" s="23" t="s">
        <v>22</v>
      </c>
      <c r="C22" s="23" t="s">
        <v>22</v>
      </c>
      <c r="D22" s="23" t="s">
        <v>22</v>
      </c>
      <c r="E22" s="23" t="s">
        <v>22</v>
      </c>
      <c r="F22" s="23" t="s">
        <v>22</v>
      </c>
      <c r="G22" s="23" t="s">
        <v>22</v>
      </c>
      <c r="H22" s="23" t="s">
        <v>22</v>
      </c>
      <c r="I22" s="23" t="s">
        <v>22</v>
      </c>
      <c r="J22" s="23" t="s">
        <v>22</v>
      </c>
      <c r="K22" s="23" t="s">
        <v>22</v>
      </c>
      <c r="L22" s="23" t="s">
        <v>22</v>
      </c>
      <c r="M22" s="23" t="s">
        <v>22</v>
      </c>
      <c r="N22" s="23" t="s">
        <v>22</v>
      </c>
      <c r="O22" s="23" t="s">
        <v>22</v>
      </c>
      <c r="P22" s="23" t="s">
        <v>22</v>
      </c>
      <c r="Q22" s="23" t="s">
        <v>22</v>
      </c>
      <c r="R22" s="23" t="s">
        <v>22</v>
      </c>
      <c r="S22" s="23" t="s">
        <v>22</v>
      </c>
      <c r="T22" s="23" t="s">
        <v>22</v>
      </c>
      <c r="U22" s="23" t="s">
        <v>22</v>
      </c>
      <c r="V22" s="23" t="s">
        <v>22</v>
      </c>
      <c r="W22" s="23" t="s">
        <v>22</v>
      </c>
      <c r="X22" s="23" t="s">
        <v>22</v>
      </c>
      <c r="Y22" s="23" t="s">
        <v>22</v>
      </c>
      <c r="Z22" s="23" t="s">
        <v>22</v>
      </c>
      <c r="AA22" s="23" t="s">
        <v>22</v>
      </c>
      <c r="AB22" s="23" t="s">
        <v>22</v>
      </c>
      <c r="AC22" s="23" t="s">
        <v>22</v>
      </c>
      <c r="AD22" s="23" t="s">
        <v>22</v>
      </c>
      <c r="AE22" s="23" t="s">
        <v>22</v>
      </c>
      <c r="AF22" s="23" t="s">
        <v>22</v>
      </c>
      <c r="AG22" s="23" t="s">
        <v>22</v>
      </c>
      <c r="AH22" s="23" t="s">
        <v>22</v>
      </c>
      <c r="AI22" s="23" t="s">
        <v>22</v>
      </c>
      <c r="AJ22" s="23" t="s">
        <v>22</v>
      </c>
      <c r="AK22" s="23" t="s">
        <v>22</v>
      </c>
      <c r="AL22" s="23" t="s">
        <v>22</v>
      </c>
      <c r="AM22" s="23" t="s">
        <v>22</v>
      </c>
      <c r="AN22" s="23" t="s">
        <v>22</v>
      </c>
      <c r="AO22" s="23" t="s">
        <v>22</v>
      </c>
      <c r="AP22" s="23" t="s">
        <v>22</v>
      </c>
      <c r="AQ22" s="23" t="s">
        <v>22</v>
      </c>
      <c r="AR22" s="23" t="s">
        <v>22</v>
      </c>
      <c r="AS22" s="23" t="s">
        <v>22</v>
      </c>
      <c r="AT22" s="23" t="s">
        <v>22</v>
      </c>
      <c r="AU22" s="23" t="s">
        <v>22</v>
      </c>
      <c r="AV22" s="23" t="s">
        <v>22</v>
      </c>
      <c r="AW22" s="23" t="s">
        <v>22</v>
      </c>
      <c r="AX22" s="23" t="s">
        <v>22</v>
      </c>
      <c r="AY22" s="23" t="s">
        <v>22</v>
      </c>
      <c r="AZ22" s="23" t="s">
        <v>22</v>
      </c>
      <c r="BA22" s="23" t="s">
        <v>22</v>
      </c>
      <c r="BB22" s="23" t="s">
        <v>22</v>
      </c>
      <c r="BC22" s="23" t="s">
        <v>22</v>
      </c>
      <c r="BD22" s="23" t="s">
        <v>22</v>
      </c>
      <c r="BE22" s="23" t="s">
        <v>22</v>
      </c>
      <c r="BF22" s="23" t="s">
        <v>22</v>
      </c>
      <c r="BG22" s="23" t="s">
        <v>22</v>
      </c>
      <c r="BH22" s="23" t="s">
        <v>22</v>
      </c>
      <c r="BI22" s="23" t="s">
        <v>22</v>
      </c>
      <c r="BJ22" s="23" t="s">
        <v>22</v>
      </c>
      <c r="BK22" s="23" t="s">
        <v>22</v>
      </c>
      <c r="BL22" s="23" t="s">
        <v>22</v>
      </c>
      <c r="BM22" s="23" t="s">
        <v>22</v>
      </c>
      <c r="BN22" s="23" t="s">
        <v>22</v>
      </c>
      <c r="BO22" s="23" t="s">
        <v>22</v>
      </c>
      <c r="BP22" s="23" t="s">
        <v>22</v>
      </c>
      <c r="BQ22" s="23" t="s">
        <v>22</v>
      </c>
      <c r="BR22" s="23" t="s">
        <v>22</v>
      </c>
      <c r="BS22" s="23" t="s">
        <v>22</v>
      </c>
      <c r="BT22" s="23" t="s">
        <v>22</v>
      </c>
      <c r="BU22" s="23">
        <v>-247</v>
      </c>
      <c r="BV22" s="23">
        <v>-99999</v>
      </c>
      <c r="BW22" s="23">
        <v>-99999</v>
      </c>
      <c r="BX22" s="23">
        <v>-175</v>
      </c>
      <c r="BY22" s="23">
        <v>-99999</v>
      </c>
      <c r="BZ22" s="23">
        <v>-99999</v>
      </c>
      <c r="CA22" s="23">
        <v>-99999</v>
      </c>
      <c r="CB22" s="23">
        <v>-211</v>
      </c>
      <c r="CC22" s="23">
        <v>-156</v>
      </c>
      <c r="CD22" s="23">
        <v>-104</v>
      </c>
      <c r="CE22" s="23">
        <v>-68</v>
      </c>
      <c r="CF22" s="23">
        <v>-257</v>
      </c>
      <c r="CG22" s="23">
        <v>-385</v>
      </c>
      <c r="CH22" s="23">
        <v>-235</v>
      </c>
      <c r="CI22" s="23">
        <v>-184</v>
      </c>
      <c r="CJ22" s="23">
        <v>-159</v>
      </c>
      <c r="CK22" s="23">
        <v>-99999</v>
      </c>
      <c r="CL22" s="23">
        <v>-147</v>
      </c>
      <c r="CM22" s="23">
        <v>-245</v>
      </c>
      <c r="CN22" s="23">
        <v>-317</v>
      </c>
      <c r="CO22" s="23">
        <v>-132</v>
      </c>
      <c r="CP22" s="23">
        <v>180</v>
      </c>
      <c r="CQ22" s="23">
        <v>0</v>
      </c>
      <c r="CR22" s="23">
        <v>-99999</v>
      </c>
      <c r="CS22" s="23">
        <v>-99999</v>
      </c>
      <c r="CT22" s="23">
        <v>-248</v>
      </c>
      <c r="CU22" s="23">
        <v>-235</v>
      </c>
      <c r="CV22" s="23">
        <v>-178</v>
      </c>
      <c r="CW22" s="23">
        <v>-178</v>
      </c>
      <c r="CX22" s="23">
        <v>-100</v>
      </c>
      <c r="CY22" s="23">
        <v>-133</v>
      </c>
      <c r="CZ22" s="23">
        <v>-150</v>
      </c>
      <c r="DA22" s="23">
        <v>-192</v>
      </c>
      <c r="DB22" s="23">
        <v>-40</v>
      </c>
      <c r="DC22" s="23">
        <v>-57</v>
      </c>
      <c r="DD22" s="23">
        <v>-191</v>
      </c>
      <c r="DE22" s="23">
        <v>-282</v>
      </c>
      <c r="DF22" s="23">
        <v>-344</v>
      </c>
      <c r="DG22" s="23">
        <v>-323</v>
      </c>
      <c r="DH22" s="23">
        <v>-220</v>
      </c>
      <c r="DI22" s="23">
        <v>-215</v>
      </c>
      <c r="DJ22" s="23">
        <v>-143</v>
      </c>
      <c r="DK22" s="23">
        <v>-152</v>
      </c>
      <c r="DL22" s="23">
        <v>-235</v>
      </c>
      <c r="DM22" s="23">
        <v>-186</v>
      </c>
      <c r="DN22" s="23">
        <v>-45</v>
      </c>
      <c r="DO22" s="23">
        <v>-108</v>
      </c>
      <c r="DP22" s="23">
        <v>-137</v>
      </c>
      <c r="DQ22" s="23">
        <v>-345</v>
      </c>
      <c r="DR22" s="23">
        <v>-431</v>
      </c>
      <c r="DS22" s="23">
        <v>-347</v>
      </c>
      <c r="DT22" s="23">
        <v>-272</v>
      </c>
      <c r="DU22" s="23">
        <v>-169</v>
      </c>
      <c r="DV22" s="23">
        <v>-177</v>
      </c>
      <c r="DW22" s="23">
        <v>-206</v>
      </c>
      <c r="DX22" s="23">
        <v>-99999</v>
      </c>
      <c r="DY22" s="23">
        <v>-99999</v>
      </c>
      <c r="DZ22" s="23">
        <v>-56</v>
      </c>
      <c r="EA22" s="23">
        <v>-32</v>
      </c>
      <c r="EB22" s="23">
        <v>-79</v>
      </c>
      <c r="EC22" s="23">
        <v>-202</v>
      </c>
      <c r="ED22" s="23">
        <v>-324</v>
      </c>
      <c r="EE22" s="23">
        <v>-294</v>
      </c>
      <c r="EF22" s="23">
        <v>-203</v>
      </c>
      <c r="EG22" s="23">
        <v>-131</v>
      </c>
      <c r="EH22" s="23">
        <v>-106</v>
      </c>
      <c r="EI22" s="23">
        <v>-63</v>
      </c>
      <c r="EJ22" s="23">
        <v>-171</v>
      </c>
      <c r="EK22" s="23">
        <v>-33</v>
      </c>
      <c r="EL22" s="23">
        <v>156</v>
      </c>
      <c r="EM22" s="23">
        <v>-99999</v>
      </c>
      <c r="EN22" s="23">
        <v>-99999</v>
      </c>
      <c r="EO22" s="23">
        <v>-99999</v>
      </c>
      <c r="EP22" s="23">
        <v>-99999</v>
      </c>
      <c r="EQ22" s="23">
        <v>-99999</v>
      </c>
      <c r="ER22" s="23">
        <v>-99999</v>
      </c>
      <c r="ES22" s="23">
        <v>-179</v>
      </c>
      <c r="ET22" s="23">
        <v>-139</v>
      </c>
      <c r="EU22" s="23">
        <v>-120</v>
      </c>
      <c r="EV22" s="23">
        <v>-88</v>
      </c>
      <c r="EW22" s="23">
        <v>-78</v>
      </c>
      <c r="EX22" s="23">
        <v>70</v>
      </c>
      <c r="EY22" s="23">
        <v>0</v>
      </c>
      <c r="EZ22" s="23">
        <v>-75</v>
      </c>
      <c r="FA22" s="23">
        <v>-248</v>
      </c>
      <c r="FB22" s="23">
        <v>-275</v>
      </c>
      <c r="FC22" s="23">
        <v>-222</v>
      </c>
      <c r="FD22" s="23">
        <v>-204</v>
      </c>
      <c r="FE22" s="23">
        <v>-231</v>
      </c>
      <c r="FF22" s="23">
        <v>-83</v>
      </c>
      <c r="FG22" s="23">
        <v>-127</v>
      </c>
      <c r="FH22" s="23">
        <v>-189</v>
      </c>
      <c r="FI22" s="23">
        <v>-148</v>
      </c>
      <c r="FJ22" s="23">
        <v>-32</v>
      </c>
      <c r="FK22" s="23">
        <v>-8</v>
      </c>
      <c r="FL22" s="23">
        <v>-16</v>
      </c>
      <c r="FM22" s="23">
        <v>-300</v>
      </c>
      <c r="FN22" s="23">
        <v>-204</v>
      </c>
      <c r="FO22" s="23">
        <v>-118</v>
      </c>
      <c r="FP22" s="23">
        <v>-266</v>
      </c>
      <c r="FQ22" s="23">
        <v>-154</v>
      </c>
      <c r="FR22" s="23">
        <v>-117</v>
      </c>
      <c r="FS22" s="23">
        <v>-32</v>
      </c>
      <c r="FT22" s="23">
        <v>-81</v>
      </c>
      <c r="FU22" s="23" t="s">
        <v>22</v>
      </c>
      <c r="FV22" s="23" t="s">
        <v>22</v>
      </c>
      <c r="FW22" s="23" t="s">
        <v>22</v>
      </c>
      <c r="FX22" s="23" t="s">
        <v>22</v>
      </c>
      <c r="FY22" s="23" t="s">
        <v>22</v>
      </c>
      <c r="FZ22" s="23" t="s">
        <v>22</v>
      </c>
      <c r="GA22" s="23" t="s">
        <v>22</v>
      </c>
      <c r="GB22" s="23" t="s">
        <v>22</v>
      </c>
      <c r="GC22" s="23" t="s">
        <v>22</v>
      </c>
      <c r="GD22" s="23" t="s">
        <v>22</v>
      </c>
      <c r="GE22" s="23" t="s">
        <v>22</v>
      </c>
      <c r="GF22" s="23" t="s">
        <v>22</v>
      </c>
      <c r="GG22" s="23" t="s">
        <v>22</v>
      </c>
      <c r="GH22" s="23" t="s">
        <v>22</v>
      </c>
      <c r="GI22" s="23" t="s">
        <v>22</v>
      </c>
      <c r="GJ22" s="23" t="s">
        <v>22</v>
      </c>
      <c r="GK22" s="23" t="s">
        <v>22</v>
      </c>
      <c r="GL22" s="23" t="s">
        <v>22</v>
      </c>
      <c r="GM22" s="23" t="s">
        <v>22</v>
      </c>
      <c r="GN22" s="23" t="s">
        <v>22</v>
      </c>
      <c r="GO22" s="23" t="s">
        <v>22</v>
      </c>
      <c r="GP22" s="23" t="s">
        <v>22</v>
      </c>
      <c r="GQ22" s="23" t="s">
        <v>22</v>
      </c>
      <c r="GR22" s="23" t="s">
        <v>22</v>
      </c>
      <c r="GS22" s="23" t="s">
        <v>22</v>
      </c>
      <c r="GT22" s="23" t="s">
        <v>22</v>
      </c>
      <c r="GU22" s="23" t="s">
        <v>22</v>
      </c>
      <c r="GV22" s="23" t="s">
        <v>22</v>
      </c>
      <c r="GW22" s="23" t="s">
        <v>22</v>
      </c>
      <c r="GX22" s="23" t="s">
        <v>22</v>
      </c>
      <c r="GY22" s="23" t="s">
        <v>22</v>
      </c>
      <c r="GZ22" s="23" t="s">
        <v>22</v>
      </c>
      <c r="HA22" s="23" t="s">
        <v>22</v>
      </c>
      <c r="HB22" s="23" t="s">
        <v>22</v>
      </c>
      <c r="HC22" s="23" t="s">
        <v>22</v>
      </c>
      <c r="HD22" s="23" t="s">
        <v>22</v>
      </c>
      <c r="HE22" s="23" t="s">
        <v>22</v>
      </c>
      <c r="HF22" s="23" t="s">
        <v>22</v>
      </c>
      <c r="HG22" s="23" t="s">
        <v>22</v>
      </c>
      <c r="HH22" s="23" t="s">
        <v>22</v>
      </c>
      <c r="HI22" s="23" t="s">
        <v>22</v>
      </c>
      <c r="HJ22" s="23" t="s">
        <v>22</v>
      </c>
      <c r="HK22" s="23" t="s">
        <v>22</v>
      </c>
      <c r="HL22" s="23" t="s">
        <v>22</v>
      </c>
      <c r="HM22" s="23" t="s">
        <v>22</v>
      </c>
      <c r="HN22" s="23" t="s">
        <v>22</v>
      </c>
      <c r="HO22" s="23" t="s">
        <v>22</v>
      </c>
      <c r="HP22" s="23" t="s">
        <v>22</v>
      </c>
      <c r="HQ22" s="23" t="s">
        <v>22</v>
      </c>
      <c r="HR22" s="23" t="s">
        <v>22</v>
      </c>
      <c r="HS22" s="23" t="s">
        <v>22</v>
      </c>
      <c r="HT22" s="23" t="s">
        <v>22</v>
      </c>
      <c r="HU22" s="23" t="s">
        <v>22</v>
      </c>
      <c r="HV22" s="23" t="s">
        <v>22</v>
      </c>
      <c r="HW22" s="23" t="s">
        <v>22</v>
      </c>
      <c r="HX22" s="23" t="s">
        <v>22</v>
      </c>
      <c r="HY22" s="23" t="s">
        <v>22</v>
      </c>
      <c r="HZ22" s="23" t="s">
        <v>22</v>
      </c>
      <c r="IA22" s="23" t="s">
        <v>22</v>
      </c>
      <c r="IB22" s="23" t="s">
        <v>22</v>
      </c>
      <c r="IC22" s="23" t="s">
        <v>22</v>
      </c>
      <c r="ID22" s="23" t="s">
        <v>22</v>
      </c>
      <c r="IE22" s="23" t="s">
        <v>22</v>
      </c>
      <c r="IF22" s="23" t="s">
        <v>22</v>
      </c>
      <c r="IG22" s="23" t="s">
        <v>22</v>
      </c>
      <c r="IH22" s="23" t="s">
        <v>22</v>
      </c>
      <c r="II22" s="23" t="s">
        <v>22</v>
      </c>
      <c r="IJ22" s="23" t="s">
        <v>22</v>
      </c>
      <c r="IK22" s="23" t="s">
        <v>22</v>
      </c>
      <c r="IL22" s="23" t="s">
        <v>22</v>
      </c>
      <c r="IM22" s="23" t="s">
        <v>22</v>
      </c>
      <c r="IN22" s="23" t="s">
        <v>22</v>
      </c>
      <c r="IO22" s="23" t="s">
        <v>22</v>
      </c>
      <c r="IP22" s="23" t="s">
        <v>22</v>
      </c>
      <c r="IQ22" s="23" t="s">
        <v>22</v>
      </c>
      <c r="IR22" s="23" t="s">
        <v>22</v>
      </c>
      <c r="IS22" s="23" t="s">
        <v>22</v>
      </c>
      <c r="IT22" s="23" t="s">
        <v>22</v>
      </c>
      <c r="IU22" s="23" t="s">
        <v>22</v>
      </c>
      <c r="IV22" s="23" t="s">
        <v>22</v>
      </c>
      <c r="IW22" s="23" t="s">
        <v>22</v>
      </c>
      <c r="IX22" s="23" t="s">
        <v>22</v>
      </c>
      <c r="IY22" s="23" t="s">
        <v>22</v>
      </c>
      <c r="IZ22" s="23" t="s">
        <v>22</v>
      </c>
      <c r="JA22" s="23" t="s">
        <v>22</v>
      </c>
      <c r="JB22" s="23" t="s">
        <v>22</v>
      </c>
      <c r="JC22" s="23" t="s">
        <v>22</v>
      </c>
      <c r="JD22" s="23" t="s">
        <v>22</v>
      </c>
      <c r="JE22" s="23" t="s">
        <v>22</v>
      </c>
      <c r="JF22" s="23" t="s">
        <v>22</v>
      </c>
      <c r="JG22" s="23" t="s">
        <v>22</v>
      </c>
      <c r="JH22" s="23" t="s">
        <v>22</v>
      </c>
      <c r="JI22" s="23" t="s">
        <v>22</v>
      </c>
      <c r="JJ22" s="23" t="s">
        <v>22</v>
      </c>
      <c r="JK22" s="23" t="s">
        <v>22</v>
      </c>
      <c r="JL22" s="23" t="s">
        <v>22</v>
      </c>
      <c r="JM22" s="23" t="s">
        <v>22</v>
      </c>
      <c r="JN22" s="23" t="s">
        <v>22</v>
      </c>
      <c r="JO22" s="23" t="s">
        <v>22</v>
      </c>
      <c r="JP22" s="23" t="s">
        <v>22</v>
      </c>
      <c r="JQ22" s="23" t="s">
        <v>22</v>
      </c>
      <c r="JR22" s="23" t="s">
        <v>22</v>
      </c>
      <c r="JS22" s="23" t="s">
        <v>22</v>
      </c>
      <c r="JT22" s="23" t="s">
        <v>22</v>
      </c>
      <c r="JU22" s="23" t="s">
        <v>22</v>
      </c>
      <c r="JV22" s="23" t="s">
        <v>22</v>
      </c>
      <c r="JW22" s="23" t="s">
        <v>22</v>
      </c>
      <c r="JX22" s="23" t="s">
        <v>22</v>
      </c>
      <c r="JY22" s="23" t="s">
        <v>22</v>
      </c>
      <c r="JZ22" s="23" t="s">
        <v>22</v>
      </c>
      <c r="KA22" s="23" t="s">
        <v>22</v>
      </c>
      <c r="KB22" s="23" t="s">
        <v>22</v>
      </c>
      <c r="KC22" s="23" t="s">
        <v>22</v>
      </c>
      <c r="KD22" s="23" t="s">
        <v>22</v>
      </c>
      <c r="KE22" s="23" t="s">
        <v>22</v>
      </c>
      <c r="KF22" s="23" t="s">
        <v>22</v>
      </c>
      <c r="KG22" s="23" t="s">
        <v>22</v>
      </c>
      <c r="KH22" s="23" t="s">
        <v>22</v>
      </c>
      <c r="KI22" s="23" t="s">
        <v>22</v>
      </c>
      <c r="KJ22" s="23" t="s">
        <v>22</v>
      </c>
      <c r="KK22" s="23" t="s">
        <v>22</v>
      </c>
      <c r="KL22" s="23" t="s">
        <v>22</v>
      </c>
      <c r="KM22" s="23" t="s">
        <v>22</v>
      </c>
      <c r="KN22" s="23" t="s">
        <v>22</v>
      </c>
      <c r="KO22" s="23">
        <v>0</v>
      </c>
    </row>
    <row r="23" spans="1:301">
      <c r="A23" s="22">
        <v>13</v>
      </c>
      <c r="B23" s="23">
        <v>-184</v>
      </c>
      <c r="C23" s="23">
        <v>-321</v>
      </c>
      <c r="D23" s="23">
        <v>-190</v>
      </c>
      <c r="E23" s="23">
        <v>11</v>
      </c>
      <c r="F23" s="23">
        <v>121</v>
      </c>
      <c r="G23" s="23">
        <v>-68</v>
      </c>
      <c r="H23" s="23">
        <v>-187</v>
      </c>
      <c r="I23" s="23">
        <v>-150</v>
      </c>
      <c r="J23" s="23">
        <v>11</v>
      </c>
      <c r="K23" s="23">
        <v>33</v>
      </c>
      <c r="L23" s="23">
        <v>-166</v>
      </c>
      <c r="M23" s="23">
        <v>-208</v>
      </c>
      <c r="N23" s="23">
        <v>-227</v>
      </c>
      <c r="O23" s="23">
        <v>-153</v>
      </c>
      <c r="P23" s="23">
        <v>-248</v>
      </c>
      <c r="Q23" s="23">
        <v>-153</v>
      </c>
      <c r="R23" s="23">
        <v>-224</v>
      </c>
      <c r="S23" s="23">
        <v>-120</v>
      </c>
      <c r="T23" s="23">
        <v>-227</v>
      </c>
      <c r="U23" s="23">
        <v>-108</v>
      </c>
      <c r="V23" s="23">
        <v>17</v>
      </c>
      <c r="W23" s="23">
        <v>-4</v>
      </c>
      <c r="X23" s="23">
        <v>-89</v>
      </c>
      <c r="Y23" s="23">
        <v>-163</v>
      </c>
      <c r="Z23" s="23">
        <v>-153</v>
      </c>
      <c r="AA23" s="23">
        <v>-214</v>
      </c>
      <c r="AB23" s="23">
        <v>-291</v>
      </c>
      <c r="AC23" s="23">
        <v>-153</v>
      </c>
      <c r="AD23" s="23">
        <v>-59</v>
      </c>
      <c r="AE23" s="23">
        <v>-123</v>
      </c>
      <c r="AF23" s="23">
        <v>-239</v>
      </c>
      <c r="AG23" s="23">
        <v>-220</v>
      </c>
      <c r="AH23" s="23">
        <v>-99999</v>
      </c>
      <c r="AI23" s="23">
        <v>-99999</v>
      </c>
      <c r="AJ23" s="23">
        <v>-99999</v>
      </c>
      <c r="AK23" s="23">
        <v>-99999</v>
      </c>
      <c r="AL23" s="23">
        <v>-99999</v>
      </c>
      <c r="AM23" s="23">
        <v>-99999</v>
      </c>
      <c r="AN23" s="23">
        <v>-99999</v>
      </c>
      <c r="AO23" s="23">
        <v>-99999</v>
      </c>
      <c r="AP23" s="23">
        <v>-99999</v>
      </c>
      <c r="AQ23" s="23">
        <v>-99999</v>
      </c>
      <c r="AR23" s="23">
        <v>-99999</v>
      </c>
      <c r="AS23" s="23">
        <v>-35</v>
      </c>
      <c r="AT23" s="23">
        <v>-99999</v>
      </c>
      <c r="AU23" s="23">
        <v>-99999</v>
      </c>
      <c r="AV23" s="23">
        <v>-129</v>
      </c>
      <c r="AW23" s="23">
        <v>-187</v>
      </c>
      <c r="AX23" s="23">
        <v>-333</v>
      </c>
      <c r="AY23" s="23">
        <v>-99999</v>
      </c>
      <c r="AZ23" s="23">
        <v>-99999</v>
      </c>
      <c r="BA23" s="23">
        <v>-99999</v>
      </c>
      <c r="BB23" s="23">
        <v>-99999</v>
      </c>
      <c r="BC23" s="23">
        <v>-99999</v>
      </c>
      <c r="BD23" s="23">
        <v>-99999</v>
      </c>
      <c r="BE23" s="23">
        <v>-99999</v>
      </c>
      <c r="BF23" s="23">
        <v>69</v>
      </c>
      <c r="BG23" s="23">
        <v>29</v>
      </c>
      <c r="BH23" s="23" t="s">
        <v>22</v>
      </c>
      <c r="BI23" s="23" t="s">
        <v>22</v>
      </c>
      <c r="BJ23" s="23" t="s">
        <v>22</v>
      </c>
      <c r="BK23" s="23" t="s">
        <v>22</v>
      </c>
      <c r="BL23" s="23" t="s">
        <v>22</v>
      </c>
      <c r="BM23" s="23" t="s">
        <v>22</v>
      </c>
      <c r="BN23" s="23" t="s">
        <v>22</v>
      </c>
      <c r="BO23" s="23" t="s">
        <v>22</v>
      </c>
      <c r="BP23" s="23" t="s">
        <v>22</v>
      </c>
      <c r="BQ23" s="23" t="s">
        <v>22</v>
      </c>
      <c r="BR23" s="23" t="s">
        <v>22</v>
      </c>
      <c r="BS23" s="23" t="s">
        <v>22</v>
      </c>
      <c r="BT23" s="23" t="s">
        <v>22</v>
      </c>
      <c r="BU23" s="23" t="s">
        <v>22</v>
      </c>
      <c r="BV23" s="23" t="s">
        <v>22</v>
      </c>
      <c r="BW23" s="23" t="s">
        <v>22</v>
      </c>
      <c r="BX23" s="23" t="s">
        <v>22</v>
      </c>
      <c r="BY23" s="23" t="s">
        <v>22</v>
      </c>
      <c r="BZ23" s="23" t="s">
        <v>22</v>
      </c>
      <c r="CA23" s="23" t="s">
        <v>22</v>
      </c>
      <c r="CB23" s="23" t="s">
        <v>22</v>
      </c>
      <c r="CC23" s="23" t="s">
        <v>22</v>
      </c>
      <c r="CD23" s="23" t="s">
        <v>22</v>
      </c>
      <c r="CE23" s="23" t="s">
        <v>22</v>
      </c>
      <c r="CF23" s="23" t="s">
        <v>22</v>
      </c>
      <c r="CG23" s="23" t="s">
        <v>22</v>
      </c>
      <c r="CH23" s="23" t="s">
        <v>22</v>
      </c>
      <c r="CI23" s="23" t="s">
        <v>22</v>
      </c>
      <c r="CJ23" s="23" t="s">
        <v>22</v>
      </c>
      <c r="CK23" s="23" t="s">
        <v>22</v>
      </c>
      <c r="CL23" s="23" t="s">
        <v>22</v>
      </c>
      <c r="CM23" s="23" t="s">
        <v>22</v>
      </c>
      <c r="CN23" s="23" t="s">
        <v>22</v>
      </c>
      <c r="CO23" s="23" t="s">
        <v>22</v>
      </c>
      <c r="CP23" s="23" t="s">
        <v>22</v>
      </c>
      <c r="CQ23" s="23" t="s">
        <v>22</v>
      </c>
      <c r="CR23" s="23" t="s">
        <v>22</v>
      </c>
      <c r="CS23" s="23" t="s">
        <v>22</v>
      </c>
      <c r="CT23" s="23" t="s">
        <v>22</v>
      </c>
      <c r="CU23" s="23" t="s">
        <v>22</v>
      </c>
      <c r="CV23" s="23" t="s">
        <v>22</v>
      </c>
      <c r="CW23" s="23" t="s">
        <v>22</v>
      </c>
      <c r="CX23" s="23" t="s">
        <v>22</v>
      </c>
      <c r="CY23" s="23" t="s">
        <v>22</v>
      </c>
      <c r="CZ23" s="23" t="s">
        <v>22</v>
      </c>
      <c r="DA23" s="23" t="s">
        <v>22</v>
      </c>
      <c r="DB23" s="23" t="s">
        <v>22</v>
      </c>
      <c r="DC23" s="23" t="s">
        <v>22</v>
      </c>
      <c r="DD23" s="23" t="s">
        <v>22</v>
      </c>
      <c r="DE23" s="23" t="s">
        <v>22</v>
      </c>
      <c r="DF23" s="23" t="s">
        <v>22</v>
      </c>
      <c r="DG23" s="23" t="s">
        <v>22</v>
      </c>
      <c r="DH23" s="23" t="s">
        <v>22</v>
      </c>
      <c r="DI23" s="23" t="s">
        <v>22</v>
      </c>
      <c r="DJ23" s="23" t="s">
        <v>22</v>
      </c>
      <c r="DK23" s="23" t="s">
        <v>22</v>
      </c>
      <c r="DL23" s="23" t="s">
        <v>22</v>
      </c>
      <c r="DM23" s="23" t="s">
        <v>22</v>
      </c>
      <c r="DN23" s="23" t="s">
        <v>22</v>
      </c>
      <c r="DO23" s="23" t="s">
        <v>22</v>
      </c>
      <c r="DP23" s="23" t="s">
        <v>22</v>
      </c>
      <c r="DQ23" s="23" t="s">
        <v>22</v>
      </c>
      <c r="DR23" s="23" t="s">
        <v>22</v>
      </c>
      <c r="DS23" s="23" t="s">
        <v>22</v>
      </c>
      <c r="DT23" s="23" t="s">
        <v>22</v>
      </c>
      <c r="DU23" s="23" t="s">
        <v>22</v>
      </c>
      <c r="DV23" s="23" t="s">
        <v>22</v>
      </c>
      <c r="DW23" s="23" t="s">
        <v>22</v>
      </c>
      <c r="DX23" s="23" t="s">
        <v>22</v>
      </c>
      <c r="DY23" s="23" t="s">
        <v>22</v>
      </c>
      <c r="DZ23" s="23" t="s">
        <v>22</v>
      </c>
      <c r="EA23" s="23" t="s">
        <v>22</v>
      </c>
      <c r="EB23" s="23" t="s">
        <v>22</v>
      </c>
      <c r="EC23" s="23" t="s">
        <v>22</v>
      </c>
      <c r="ED23" s="23" t="s">
        <v>22</v>
      </c>
      <c r="EE23" s="23" t="s">
        <v>22</v>
      </c>
      <c r="EF23" s="23" t="s">
        <v>22</v>
      </c>
      <c r="EG23" s="23" t="s">
        <v>22</v>
      </c>
      <c r="EH23" s="23" t="s">
        <v>22</v>
      </c>
      <c r="EI23" s="23" t="s">
        <v>22</v>
      </c>
      <c r="EJ23" s="23" t="s">
        <v>22</v>
      </c>
      <c r="EK23" s="23" t="s">
        <v>22</v>
      </c>
      <c r="EL23" s="23" t="s">
        <v>22</v>
      </c>
      <c r="EM23" s="23" t="s">
        <v>22</v>
      </c>
      <c r="EN23" s="23" t="s">
        <v>22</v>
      </c>
      <c r="EO23" s="23" t="s">
        <v>22</v>
      </c>
      <c r="EP23" s="23" t="s">
        <v>22</v>
      </c>
      <c r="EQ23" s="23" t="s">
        <v>22</v>
      </c>
      <c r="ER23" s="23" t="s">
        <v>22</v>
      </c>
      <c r="ES23" s="23" t="s">
        <v>22</v>
      </c>
      <c r="ET23" s="23" t="s">
        <v>22</v>
      </c>
      <c r="EU23" s="23" t="s">
        <v>22</v>
      </c>
      <c r="EV23" s="23" t="s">
        <v>22</v>
      </c>
      <c r="EW23" s="23" t="s">
        <v>22</v>
      </c>
      <c r="EX23" s="23" t="s">
        <v>22</v>
      </c>
      <c r="EY23" s="23" t="s">
        <v>22</v>
      </c>
      <c r="EZ23" s="23" t="s">
        <v>22</v>
      </c>
      <c r="FA23" s="23" t="s">
        <v>22</v>
      </c>
      <c r="FB23" s="23" t="s">
        <v>22</v>
      </c>
      <c r="FC23" s="23" t="s">
        <v>22</v>
      </c>
      <c r="FD23" s="23" t="s">
        <v>22</v>
      </c>
      <c r="FE23" s="23" t="s">
        <v>22</v>
      </c>
      <c r="FF23" s="23" t="s">
        <v>22</v>
      </c>
      <c r="FG23" s="23" t="s">
        <v>22</v>
      </c>
      <c r="FH23" s="23" t="s">
        <v>22</v>
      </c>
      <c r="FI23" s="23" t="s">
        <v>22</v>
      </c>
      <c r="FJ23" s="23" t="s">
        <v>22</v>
      </c>
      <c r="FK23" s="23" t="s">
        <v>22</v>
      </c>
      <c r="FL23" s="23" t="s">
        <v>22</v>
      </c>
      <c r="FM23" s="23" t="s">
        <v>22</v>
      </c>
      <c r="FN23" s="23" t="s">
        <v>22</v>
      </c>
      <c r="FO23" s="23" t="s">
        <v>22</v>
      </c>
      <c r="FP23" s="23" t="s">
        <v>22</v>
      </c>
      <c r="FQ23" s="23" t="s">
        <v>22</v>
      </c>
      <c r="FR23" s="23" t="s">
        <v>22</v>
      </c>
      <c r="FS23" s="23" t="s">
        <v>22</v>
      </c>
      <c r="FT23" s="23" t="s">
        <v>22</v>
      </c>
      <c r="FU23" s="23" t="s">
        <v>22</v>
      </c>
      <c r="FV23" s="23" t="s">
        <v>22</v>
      </c>
      <c r="FW23" s="23" t="s">
        <v>22</v>
      </c>
      <c r="FX23" s="23" t="s">
        <v>22</v>
      </c>
      <c r="FY23" s="23" t="s">
        <v>22</v>
      </c>
      <c r="FZ23" s="23" t="s">
        <v>22</v>
      </c>
      <c r="GA23" s="23" t="s">
        <v>22</v>
      </c>
      <c r="GB23" s="23" t="s">
        <v>22</v>
      </c>
      <c r="GC23" s="23" t="s">
        <v>22</v>
      </c>
      <c r="GD23" s="23" t="s">
        <v>22</v>
      </c>
      <c r="GE23" s="23" t="s">
        <v>22</v>
      </c>
      <c r="GF23" s="23" t="s">
        <v>22</v>
      </c>
      <c r="GG23" s="23" t="s">
        <v>22</v>
      </c>
      <c r="GH23" s="23" t="s">
        <v>22</v>
      </c>
      <c r="GI23" s="23" t="s">
        <v>22</v>
      </c>
      <c r="GJ23" s="23" t="s">
        <v>22</v>
      </c>
      <c r="GK23" s="23" t="s">
        <v>22</v>
      </c>
      <c r="GL23" s="23" t="s">
        <v>22</v>
      </c>
      <c r="GM23" s="23" t="s">
        <v>22</v>
      </c>
      <c r="GN23" s="23" t="s">
        <v>22</v>
      </c>
      <c r="GO23" s="23" t="s">
        <v>22</v>
      </c>
      <c r="GP23" s="23" t="s">
        <v>22</v>
      </c>
      <c r="GQ23" s="23" t="s">
        <v>22</v>
      </c>
      <c r="GR23" s="23" t="s">
        <v>22</v>
      </c>
      <c r="GS23" s="23" t="s">
        <v>22</v>
      </c>
      <c r="GT23" s="23" t="s">
        <v>22</v>
      </c>
      <c r="GU23" s="23" t="s">
        <v>22</v>
      </c>
      <c r="GV23" s="23" t="s">
        <v>22</v>
      </c>
      <c r="GW23" s="23" t="s">
        <v>22</v>
      </c>
      <c r="GX23" s="23" t="s">
        <v>22</v>
      </c>
      <c r="GY23" s="23" t="s">
        <v>22</v>
      </c>
      <c r="GZ23" s="23" t="s">
        <v>22</v>
      </c>
      <c r="HA23" s="23" t="s">
        <v>22</v>
      </c>
      <c r="HB23" s="23" t="s">
        <v>22</v>
      </c>
      <c r="HC23" s="23" t="s">
        <v>22</v>
      </c>
      <c r="HD23" s="23" t="s">
        <v>22</v>
      </c>
      <c r="HE23" s="23" t="s">
        <v>22</v>
      </c>
      <c r="HF23" s="23" t="s">
        <v>22</v>
      </c>
      <c r="HG23" s="23" t="s">
        <v>22</v>
      </c>
      <c r="HH23" s="23" t="s">
        <v>22</v>
      </c>
      <c r="HI23" s="23" t="s">
        <v>22</v>
      </c>
      <c r="HJ23" s="23" t="s">
        <v>22</v>
      </c>
      <c r="HK23" s="23" t="s">
        <v>22</v>
      </c>
      <c r="HL23" s="23" t="s">
        <v>22</v>
      </c>
      <c r="HM23" s="23" t="s">
        <v>22</v>
      </c>
      <c r="HN23" s="23" t="s">
        <v>22</v>
      </c>
      <c r="HO23" s="23" t="s">
        <v>22</v>
      </c>
      <c r="HP23" s="23" t="s">
        <v>22</v>
      </c>
      <c r="HQ23" s="23" t="s">
        <v>22</v>
      </c>
      <c r="HR23" s="23" t="s">
        <v>22</v>
      </c>
      <c r="HS23" s="23" t="s">
        <v>22</v>
      </c>
      <c r="HT23" s="23" t="s">
        <v>22</v>
      </c>
      <c r="HU23" s="23" t="s">
        <v>22</v>
      </c>
      <c r="HV23" s="23" t="s">
        <v>22</v>
      </c>
      <c r="HW23" s="23" t="s">
        <v>22</v>
      </c>
      <c r="HX23" s="23" t="s">
        <v>22</v>
      </c>
      <c r="HY23" s="23" t="s">
        <v>22</v>
      </c>
      <c r="HZ23" s="23" t="s">
        <v>22</v>
      </c>
      <c r="IA23" s="23" t="s">
        <v>22</v>
      </c>
      <c r="IB23" s="23" t="s">
        <v>22</v>
      </c>
      <c r="IC23" s="23" t="s">
        <v>22</v>
      </c>
      <c r="ID23" s="23" t="s">
        <v>22</v>
      </c>
      <c r="IE23" s="23" t="s">
        <v>22</v>
      </c>
      <c r="IF23" s="23" t="s">
        <v>22</v>
      </c>
      <c r="IG23" s="23" t="s">
        <v>22</v>
      </c>
      <c r="IH23" s="23" t="s">
        <v>22</v>
      </c>
      <c r="II23" s="23" t="s">
        <v>22</v>
      </c>
      <c r="IJ23" s="23" t="s">
        <v>22</v>
      </c>
      <c r="IK23" s="23" t="s">
        <v>22</v>
      </c>
      <c r="IL23" s="23" t="s">
        <v>22</v>
      </c>
      <c r="IM23" s="23" t="s">
        <v>22</v>
      </c>
      <c r="IN23" s="23" t="s">
        <v>22</v>
      </c>
      <c r="IO23" s="23" t="s">
        <v>22</v>
      </c>
      <c r="IP23" s="23" t="s">
        <v>22</v>
      </c>
      <c r="IQ23" s="23" t="s">
        <v>22</v>
      </c>
      <c r="IR23" s="23" t="s">
        <v>22</v>
      </c>
      <c r="IS23" s="23" t="s">
        <v>22</v>
      </c>
      <c r="IT23" s="23" t="s">
        <v>22</v>
      </c>
      <c r="IU23" s="23" t="s">
        <v>22</v>
      </c>
      <c r="IV23" s="23" t="s">
        <v>22</v>
      </c>
      <c r="IW23" s="23" t="s">
        <v>22</v>
      </c>
      <c r="IX23" s="23" t="s">
        <v>22</v>
      </c>
      <c r="IY23" s="23" t="s">
        <v>22</v>
      </c>
      <c r="IZ23" s="23" t="s">
        <v>22</v>
      </c>
      <c r="JA23" s="23" t="s">
        <v>22</v>
      </c>
      <c r="JB23" s="23" t="s">
        <v>22</v>
      </c>
      <c r="JC23" s="23" t="s">
        <v>22</v>
      </c>
      <c r="JD23" s="23" t="s">
        <v>22</v>
      </c>
      <c r="JE23" s="23" t="s">
        <v>22</v>
      </c>
      <c r="JF23" s="23" t="s">
        <v>22</v>
      </c>
      <c r="JG23" s="23" t="s">
        <v>22</v>
      </c>
      <c r="JH23" s="23" t="s">
        <v>22</v>
      </c>
      <c r="JI23" s="23" t="s">
        <v>22</v>
      </c>
      <c r="JJ23" s="23" t="s">
        <v>22</v>
      </c>
      <c r="JK23" s="23" t="s">
        <v>22</v>
      </c>
      <c r="JL23" s="23" t="s">
        <v>22</v>
      </c>
      <c r="JM23" s="23" t="s">
        <v>22</v>
      </c>
      <c r="JN23" s="23" t="s">
        <v>22</v>
      </c>
      <c r="JO23" s="23" t="s">
        <v>22</v>
      </c>
      <c r="JP23" s="23" t="s">
        <v>22</v>
      </c>
      <c r="JQ23" s="23" t="s">
        <v>22</v>
      </c>
      <c r="JR23" s="23" t="s">
        <v>22</v>
      </c>
      <c r="JS23" s="23" t="s">
        <v>22</v>
      </c>
      <c r="JT23" s="23" t="s">
        <v>22</v>
      </c>
      <c r="JU23" s="23" t="s">
        <v>22</v>
      </c>
      <c r="JV23" s="23" t="s">
        <v>22</v>
      </c>
      <c r="JW23" s="23" t="s">
        <v>22</v>
      </c>
      <c r="JX23" s="23" t="s">
        <v>22</v>
      </c>
      <c r="JY23" s="23" t="s">
        <v>22</v>
      </c>
      <c r="JZ23" s="23" t="s">
        <v>22</v>
      </c>
      <c r="KA23" s="23" t="s">
        <v>22</v>
      </c>
      <c r="KB23" s="23" t="s">
        <v>22</v>
      </c>
      <c r="KC23" s="23" t="s">
        <v>22</v>
      </c>
      <c r="KD23" s="23" t="s">
        <v>22</v>
      </c>
      <c r="KE23" s="23" t="s">
        <v>22</v>
      </c>
      <c r="KF23" s="23" t="s">
        <v>22</v>
      </c>
      <c r="KG23" s="23" t="s">
        <v>22</v>
      </c>
      <c r="KH23" s="23" t="s">
        <v>22</v>
      </c>
      <c r="KI23" s="23" t="s">
        <v>22</v>
      </c>
      <c r="KJ23" s="23" t="s">
        <v>22</v>
      </c>
      <c r="KK23" s="23" t="s">
        <v>22</v>
      </c>
      <c r="KL23" s="23" t="s">
        <v>22</v>
      </c>
      <c r="KM23" s="23" t="s">
        <v>22</v>
      </c>
      <c r="KN23" s="23" t="s">
        <v>22</v>
      </c>
      <c r="KO23" s="23">
        <v>0</v>
      </c>
    </row>
    <row r="24" spans="1:301">
      <c r="A24" s="22">
        <v>14</v>
      </c>
      <c r="B24" s="23">
        <v>-269</v>
      </c>
      <c r="C24" s="23">
        <v>-366</v>
      </c>
      <c r="D24" s="23">
        <v>-217</v>
      </c>
      <c r="E24" s="23">
        <v>-128</v>
      </c>
      <c r="F24" s="23">
        <v>0</v>
      </c>
      <c r="G24" s="23">
        <v>-134</v>
      </c>
      <c r="H24" s="23">
        <v>-195</v>
      </c>
      <c r="I24" s="23">
        <v>-189</v>
      </c>
      <c r="J24" s="23">
        <v>-67</v>
      </c>
      <c r="K24" s="23">
        <v>-92</v>
      </c>
      <c r="L24" s="23">
        <v>-211</v>
      </c>
      <c r="M24" s="23">
        <v>-296</v>
      </c>
      <c r="N24" s="23">
        <v>-275</v>
      </c>
      <c r="O24" s="23">
        <v>-214</v>
      </c>
      <c r="P24" s="23">
        <v>-287</v>
      </c>
      <c r="Q24" s="23">
        <v>-241</v>
      </c>
      <c r="R24" s="23">
        <v>-275</v>
      </c>
      <c r="S24" s="23">
        <v>-165</v>
      </c>
      <c r="T24" s="23">
        <v>-238</v>
      </c>
      <c r="U24" s="23">
        <v>-153</v>
      </c>
      <c r="V24" s="23">
        <v>-67</v>
      </c>
      <c r="W24" s="23">
        <v>-64</v>
      </c>
      <c r="X24" s="23">
        <v>-153</v>
      </c>
      <c r="Y24" s="23">
        <v>-220</v>
      </c>
      <c r="Z24" s="23">
        <v>-211</v>
      </c>
      <c r="AA24" s="23">
        <v>-241</v>
      </c>
      <c r="AB24" s="23">
        <v>-323</v>
      </c>
      <c r="AC24" s="23">
        <v>-220</v>
      </c>
      <c r="AD24" s="23">
        <v>-156</v>
      </c>
      <c r="AE24" s="23">
        <v>-208</v>
      </c>
      <c r="AF24" s="23">
        <v>-266</v>
      </c>
      <c r="AG24" s="23">
        <v>-241</v>
      </c>
      <c r="AH24" s="23">
        <v>-95</v>
      </c>
      <c r="AI24" s="23">
        <v>-80</v>
      </c>
      <c r="AJ24" s="23">
        <v>-223</v>
      </c>
      <c r="AK24" s="23">
        <v>-266</v>
      </c>
      <c r="AL24" s="23">
        <v>-363</v>
      </c>
      <c r="AM24" s="23">
        <v>-278</v>
      </c>
      <c r="AN24" s="23">
        <v>-269</v>
      </c>
      <c r="AO24" s="23">
        <v>-165</v>
      </c>
      <c r="AP24" s="23">
        <v>-217</v>
      </c>
      <c r="AQ24" s="23">
        <v>-202</v>
      </c>
      <c r="AR24" s="23">
        <v>-147</v>
      </c>
      <c r="AS24" s="23">
        <v>-86</v>
      </c>
      <c r="AT24" s="23">
        <v>-46</v>
      </c>
      <c r="AU24" s="23">
        <v>-19</v>
      </c>
      <c r="AV24" s="23">
        <v>-165</v>
      </c>
      <c r="AW24" s="23">
        <v>-220</v>
      </c>
      <c r="AX24" s="23">
        <v>-323</v>
      </c>
      <c r="AY24" s="23">
        <v>-403</v>
      </c>
      <c r="AZ24" s="23">
        <v>-165</v>
      </c>
      <c r="BA24" s="23">
        <v>-147</v>
      </c>
      <c r="BB24" s="23">
        <v>-128</v>
      </c>
      <c r="BC24" s="23">
        <v>-189</v>
      </c>
      <c r="BD24" s="23">
        <v>-168</v>
      </c>
      <c r="BE24" s="23">
        <v>9</v>
      </c>
      <c r="BF24" s="23">
        <v>27</v>
      </c>
      <c r="BG24" s="23">
        <v>9</v>
      </c>
      <c r="BH24" s="23">
        <v>-202</v>
      </c>
      <c r="BI24" s="23">
        <v>-272</v>
      </c>
      <c r="BJ24" s="23">
        <v>-320</v>
      </c>
      <c r="BK24" s="23">
        <v>-339</v>
      </c>
      <c r="BL24" s="23">
        <v>-294</v>
      </c>
      <c r="BM24" s="23">
        <v>-238</v>
      </c>
      <c r="BN24" s="23">
        <v>-229</v>
      </c>
      <c r="BO24" s="23">
        <v>-244</v>
      </c>
      <c r="BP24" s="23">
        <v>-225</v>
      </c>
      <c r="BQ24" s="23">
        <v>-132</v>
      </c>
      <c r="BR24" s="23">
        <v>-99999</v>
      </c>
      <c r="BS24" s="23">
        <v>-99999</v>
      </c>
      <c r="BT24" s="23">
        <v>-107</v>
      </c>
      <c r="BU24" s="23">
        <v>-235</v>
      </c>
      <c r="BV24" s="23">
        <v>-252</v>
      </c>
      <c r="BW24" s="23">
        <v>-237</v>
      </c>
      <c r="BX24" s="23">
        <v>-196</v>
      </c>
      <c r="BY24" s="23">
        <v>-190</v>
      </c>
      <c r="BZ24" s="23">
        <v>-176</v>
      </c>
      <c r="CA24" s="23">
        <v>-112</v>
      </c>
      <c r="CB24" s="23">
        <v>-162</v>
      </c>
      <c r="CC24" s="23">
        <v>-147</v>
      </c>
      <c r="CD24" s="23">
        <v>-99</v>
      </c>
      <c r="CE24" s="23">
        <v>-108</v>
      </c>
      <c r="CF24" s="23">
        <v>-99999</v>
      </c>
      <c r="CG24" s="23">
        <v>-99999</v>
      </c>
      <c r="CH24" s="23">
        <v>-99999</v>
      </c>
      <c r="CI24" s="23">
        <v>-99999</v>
      </c>
      <c r="CJ24" s="23">
        <v>-99999</v>
      </c>
      <c r="CK24" s="23">
        <v>-99999</v>
      </c>
      <c r="CL24" s="23">
        <v>-99999</v>
      </c>
      <c r="CM24" s="23">
        <v>-99999</v>
      </c>
      <c r="CN24" s="23">
        <v>-99999</v>
      </c>
      <c r="CO24" s="23">
        <v>-99999</v>
      </c>
      <c r="CP24" s="23">
        <v>-99999</v>
      </c>
      <c r="CQ24" s="23">
        <v>-99999</v>
      </c>
      <c r="CR24" s="23">
        <v>-99999</v>
      </c>
      <c r="CS24" s="23">
        <v>-99999</v>
      </c>
      <c r="CT24" s="23">
        <v>-99999</v>
      </c>
      <c r="CU24" s="23">
        <v>-99999</v>
      </c>
      <c r="CV24" s="23">
        <v>-99999</v>
      </c>
      <c r="CW24" s="23">
        <v>-99999</v>
      </c>
      <c r="CX24" s="23">
        <v>-99999</v>
      </c>
      <c r="CY24" s="23">
        <v>-99999</v>
      </c>
      <c r="CZ24" s="23">
        <v>-99999</v>
      </c>
      <c r="DA24" s="23">
        <v>-99999</v>
      </c>
      <c r="DB24" s="23">
        <v>-99999</v>
      </c>
      <c r="DC24" s="23">
        <v>-99999</v>
      </c>
      <c r="DD24" s="23">
        <v>-99999</v>
      </c>
      <c r="DE24" s="23">
        <v>-99999</v>
      </c>
      <c r="DF24" s="23">
        <v>-99999</v>
      </c>
      <c r="DG24" s="23">
        <v>-99999</v>
      </c>
      <c r="DH24" s="23">
        <v>-99999</v>
      </c>
      <c r="DI24" s="23">
        <v>-99999</v>
      </c>
      <c r="DJ24" s="23">
        <v>-99999</v>
      </c>
      <c r="DK24" s="23">
        <v>-99999</v>
      </c>
      <c r="DL24" s="23">
        <v>-99999</v>
      </c>
      <c r="DM24" s="23">
        <v>-99999</v>
      </c>
      <c r="DN24" s="23">
        <v>-99999</v>
      </c>
      <c r="DO24" s="23">
        <v>-99999</v>
      </c>
      <c r="DP24" s="23">
        <v>-99999</v>
      </c>
      <c r="DQ24" s="23">
        <v>-99999</v>
      </c>
      <c r="DR24" s="23">
        <v>-99999</v>
      </c>
      <c r="DS24" s="23">
        <v>-99999</v>
      </c>
      <c r="DT24" s="23">
        <v>-99999</v>
      </c>
      <c r="DU24" s="23">
        <v>-99999</v>
      </c>
      <c r="DV24" s="23">
        <v>-99999</v>
      </c>
      <c r="DW24" s="23">
        <v>-99999</v>
      </c>
      <c r="DX24" s="23">
        <v>-99999</v>
      </c>
      <c r="DY24" s="23">
        <v>-99999</v>
      </c>
      <c r="DZ24" s="23">
        <v>-99999</v>
      </c>
      <c r="EA24" s="23">
        <v>-92</v>
      </c>
      <c r="EB24" s="23">
        <v>-117</v>
      </c>
      <c r="EC24" s="23">
        <v>-199</v>
      </c>
      <c r="ED24" s="23">
        <v>-326</v>
      </c>
      <c r="EE24" s="23">
        <v>-300</v>
      </c>
      <c r="EF24" s="23">
        <v>-249</v>
      </c>
      <c r="EG24" s="23">
        <v>-192</v>
      </c>
      <c r="EH24" s="23">
        <v>-158</v>
      </c>
      <c r="EI24" s="23">
        <v>-125</v>
      </c>
      <c r="EJ24" s="23">
        <v>-178</v>
      </c>
      <c r="EK24" s="23">
        <v>-81</v>
      </c>
      <c r="EL24" s="23">
        <v>59</v>
      </c>
      <c r="EM24" s="23">
        <v>-15</v>
      </c>
      <c r="EN24" s="23">
        <v>-221</v>
      </c>
      <c r="EO24" s="23">
        <v>-291</v>
      </c>
      <c r="EP24" s="23">
        <v>-370</v>
      </c>
      <c r="EQ24" s="23">
        <v>-261</v>
      </c>
      <c r="ER24" s="23">
        <v>-137</v>
      </c>
      <c r="ES24" s="23">
        <v>-171</v>
      </c>
      <c r="ET24" s="23">
        <v>-91</v>
      </c>
      <c r="EU24" s="23">
        <v>-94</v>
      </c>
      <c r="EV24" s="23">
        <v>-65</v>
      </c>
      <c r="EW24" s="23">
        <v>-49</v>
      </c>
      <c r="EX24" s="23">
        <v>71</v>
      </c>
      <c r="EY24" s="23">
        <v>8</v>
      </c>
      <c r="EZ24" s="23">
        <v>-53</v>
      </c>
      <c r="FA24" s="23">
        <v>-207</v>
      </c>
      <c r="FB24" s="23">
        <v>-263</v>
      </c>
      <c r="FC24" s="23">
        <v>-249</v>
      </c>
      <c r="FD24" s="23">
        <v>-244</v>
      </c>
      <c r="FE24" s="23">
        <v>-252</v>
      </c>
      <c r="FF24" s="23">
        <v>-145</v>
      </c>
      <c r="FG24" s="23">
        <v>-130</v>
      </c>
      <c r="FH24" s="23">
        <v>-157</v>
      </c>
      <c r="FI24" s="23">
        <v>-149</v>
      </c>
      <c r="FJ24" s="23">
        <v>-53</v>
      </c>
      <c r="FK24" s="23">
        <v>-49</v>
      </c>
      <c r="FL24" s="23">
        <v>-39</v>
      </c>
      <c r="FM24" s="23">
        <v>-254</v>
      </c>
      <c r="FN24" s="23">
        <v>-99999</v>
      </c>
      <c r="FO24" s="23">
        <v>-99999</v>
      </c>
      <c r="FP24" s="23">
        <v>-99999</v>
      </c>
      <c r="FQ24" s="23">
        <v>-99999</v>
      </c>
      <c r="FR24" s="23">
        <v>-99999</v>
      </c>
      <c r="FS24" s="23">
        <v>-99999</v>
      </c>
      <c r="FT24" s="23">
        <v>-99999</v>
      </c>
      <c r="FU24" s="23">
        <v>-99999</v>
      </c>
      <c r="FV24" s="23">
        <v>-99999</v>
      </c>
      <c r="FW24" s="23">
        <v>-99999</v>
      </c>
      <c r="FX24" s="23">
        <v>-99999</v>
      </c>
      <c r="FY24" s="23">
        <v>-99999</v>
      </c>
      <c r="FZ24" s="23">
        <v>-309</v>
      </c>
      <c r="GA24" s="23">
        <v>-283</v>
      </c>
      <c r="GB24" s="23">
        <v>-218</v>
      </c>
      <c r="GC24" s="23">
        <v>-198</v>
      </c>
      <c r="GD24" s="23">
        <v>-167</v>
      </c>
      <c r="GE24" s="23">
        <v>-172</v>
      </c>
      <c r="GF24" s="23">
        <v>-182</v>
      </c>
      <c r="GG24" s="23">
        <v>-141</v>
      </c>
      <c r="GH24" s="23">
        <v>-77</v>
      </c>
      <c r="GI24" s="23">
        <v>-101</v>
      </c>
      <c r="GJ24" s="23">
        <v>-221</v>
      </c>
      <c r="GK24" s="23">
        <v>-298</v>
      </c>
      <c r="GL24" s="23">
        <v>-311</v>
      </c>
      <c r="GM24" s="23">
        <v>-362</v>
      </c>
      <c r="GN24" s="23">
        <v>-299</v>
      </c>
      <c r="GO24" s="23">
        <v>-228</v>
      </c>
      <c r="GP24" s="23">
        <v>-122</v>
      </c>
      <c r="GQ24" s="23">
        <v>-139</v>
      </c>
      <c r="GR24" s="23">
        <v>-182</v>
      </c>
      <c r="GS24" s="23">
        <v>-108</v>
      </c>
      <c r="GT24" s="23">
        <v>-63</v>
      </c>
      <c r="GU24" s="23">
        <v>-32</v>
      </c>
      <c r="GV24" s="23">
        <v>-207</v>
      </c>
      <c r="GW24" s="23">
        <v>-278</v>
      </c>
      <c r="GX24" s="23">
        <v>-332</v>
      </c>
      <c r="GY24" s="23">
        <v>-299</v>
      </c>
      <c r="GZ24" s="23">
        <v>-260</v>
      </c>
      <c r="HA24" s="23">
        <v>-184</v>
      </c>
      <c r="HB24" s="23">
        <v>-125</v>
      </c>
      <c r="HC24" s="23">
        <v>-138</v>
      </c>
      <c r="HD24" s="23">
        <v>-131</v>
      </c>
      <c r="HE24" s="23">
        <v>-142</v>
      </c>
      <c r="HF24" s="23">
        <v>130</v>
      </c>
      <c r="HG24" s="23">
        <v>-45</v>
      </c>
      <c r="HH24" s="23">
        <v>-174</v>
      </c>
      <c r="HI24" s="23">
        <v>-238</v>
      </c>
      <c r="HJ24" s="23">
        <v>-316</v>
      </c>
      <c r="HK24" s="23">
        <v>-302</v>
      </c>
      <c r="HL24" s="23">
        <v>-159</v>
      </c>
      <c r="HM24" s="23">
        <v>-119</v>
      </c>
      <c r="HN24" s="23">
        <v>-77</v>
      </c>
      <c r="HO24" s="23">
        <v>-137</v>
      </c>
      <c r="HP24" s="23">
        <v>-144</v>
      </c>
      <c r="HQ24" s="23">
        <v>-62</v>
      </c>
      <c r="HR24" s="23">
        <v>95</v>
      </c>
      <c r="HS24" s="23">
        <v>29</v>
      </c>
      <c r="HT24" s="23">
        <v>-16</v>
      </c>
      <c r="HU24" s="23">
        <v>-105</v>
      </c>
      <c r="HV24" s="23">
        <v>-253</v>
      </c>
      <c r="HW24" s="23">
        <v>-230</v>
      </c>
      <c r="HX24" s="23">
        <v>-248</v>
      </c>
      <c r="HY24" s="23">
        <v>-203</v>
      </c>
      <c r="HZ24" s="23">
        <v>-92</v>
      </c>
      <c r="IA24" s="23">
        <v>-60</v>
      </c>
      <c r="IB24" s="23">
        <v>-16</v>
      </c>
      <c r="IC24" s="23">
        <v>-30</v>
      </c>
      <c r="ID24" s="23">
        <v>53</v>
      </c>
      <c r="IE24" s="23">
        <v>-134</v>
      </c>
      <c r="IF24" s="23">
        <v>-145</v>
      </c>
      <c r="IG24" s="23">
        <v>-372</v>
      </c>
      <c r="IH24" s="23">
        <v>-355</v>
      </c>
      <c r="II24" s="23">
        <v>-337</v>
      </c>
      <c r="IJ24" s="23">
        <v>-165</v>
      </c>
      <c r="IK24" s="23">
        <v>-135</v>
      </c>
      <c r="IL24" s="23">
        <v>-137</v>
      </c>
      <c r="IM24" s="23">
        <v>-126</v>
      </c>
      <c r="IN24" s="23">
        <v>-89</v>
      </c>
      <c r="IO24" s="23">
        <v>-115</v>
      </c>
      <c r="IP24" s="23">
        <v>-18</v>
      </c>
      <c r="IQ24" s="23">
        <v>-107</v>
      </c>
      <c r="IR24" s="23">
        <v>-108</v>
      </c>
      <c r="IS24" s="23">
        <v>-168</v>
      </c>
      <c r="IT24" s="23">
        <v>-244</v>
      </c>
      <c r="IU24" s="23">
        <v>-199</v>
      </c>
      <c r="IV24" s="23">
        <v>-134</v>
      </c>
      <c r="IW24" s="23">
        <v>-117</v>
      </c>
      <c r="IX24" s="23">
        <v>-74</v>
      </c>
      <c r="IY24" s="23">
        <v>29</v>
      </c>
      <c r="IZ24" s="23">
        <v>-38</v>
      </c>
      <c r="JA24" s="23">
        <v>40</v>
      </c>
      <c r="JB24" s="23">
        <v>12</v>
      </c>
      <c r="JC24" s="23">
        <v>-69</v>
      </c>
      <c r="JD24" s="23">
        <v>-111</v>
      </c>
      <c r="JE24" s="23">
        <v>-174</v>
      </c>
      <c r="JF24" s="23">
        <v>-209</v>
      </c>
      <c r="JG24" s="23">
        <v>-164</v>
      </c>
      <c r="JH24" s="23">
        <v>-181</v>
      </c>
      <c r="JI24" s="23">
        <v>-100</v>
      </c>
      <c r="JJ24" s="23">
        <v>-97</v>
      </c>
      <c r="JK24" s="23">
        <v>-88</v>
      </c>
      <c r="JL24" s="23">
        <v>-17</v>
      </c>
      <c r="JM24" s="23">
        <v>-19</v>
      </c>
      <c r="JN24" s="23">
        <v>30</v>
      </c>
      <c r="JO24" s="23">
        <v>16</v>
      </c>
      <c r="JP24" s="23">
        <v>-51</v>
      </c>
      <c r="JQ24" s="23">
        <v>-174</v>
      </c>
      <c r="JR24" s="23">
        <v>-305</v>
      </c>
      <c r="JS24" s="23">
        <v>-235</v>
      </c>
      <c r="JT24" s="23">
        <v>-213</v>
      </c>
      <c r="JU24" s="23">
        <v>-83</v>
      </c>
      <c r="JV24" s="23">
        <v>-58</v>
      </c>
      <c r="JW24" s="23">
        <v>-57</v>
      </c>
      <c r="JX24" s="23">
        <v>-178</v>
      </c>
      <c r="JY24" s="23">
        <v>-93</v>
      </c>
      <c r="JZ24" s="23">
        <v>29</v>
      </c>
      <c r="KA24" s="23">
        <v>-33</v>
      </c>
      <c r="KB24" s="23">
        <v>-146</v>
      </c>
      <c r="KC24" s="23">
        <v>-113</v>
      </c>
      <c r="KD24" s="23">
        <v>-233</v>
      </c>
      <c r="KE24" s="23">
        <v>-249</v>
      </c>
      <c r="KF24" s="23">
        <v>-230</v>
      </c>
      <c r="KG24" s="23">
        <v>-111</v>
      </c>
      <c r="KH24" s="23">
        <v>-66</v>
      </c>
      <c r="KI24" s="23">
        <v>-107</v>
      </c>
      <c r="KJ24" s="23">
        <v>-155</v>
      </c>
      <c r="KK24" s="23">
        <v>-71</v>
      </c>
      <c r="KL24" s="23">
        <v>-9</v>
      </c>
      <c r="KM24" s="23">
        <v>64</v>
      </c>
      <c r="KN24" s="23">
        <v>32</v>
      </c>
      <c r="KO24" s="23">
        <v>0</v>
      </c>
    </row>
    <row r="25" spans="1:301">
      <c r="A25" s="22">
        <v>15</v>
      </c>
      <c r="B25" s="23">
        <v>-282</v>
      </c>
      <c r="C25" s="23">
        <v>-349</v>
      </c>
      <c r="D25" s="23">
        <v>-242</v>
      </c>
      <c r="E25" s="23">
        <v>-163</v>
      </c>
      <c r="F25" s="23">
        <v>-56</v>
      </c>
      <c r="G25" s="23">
        <v>-163</v>
      </c>
      <c r="H25" s="23">
        <v>-169</v>
      </c>
      <c r="I25" s="23">
        <v>-160</v>
      </c>
      <c r="J25" s="23">
        <v>-72</v>
      </c>
      <c r="K25" s="23">
        <v>-99</v>
      </c>
      <c r="L25" s="23">
        <v>-206</v>
      </c>
      <c r="M25" s="23">
        <v>-315</v>
      </c>
      <c r="N25" s="23">
        <v>-285</v>
      </c>
      <c r="O25" s="23">
        <v>-212</v>
      </c>
      <c r="P25" s="23">
        <v>-291</v>
      </c>
      <c r="Q25" s="23">
        <v>-242</v>
      </c>
      <c r="R25" s="23">
        <v>-267</v>
      </c>
      <c r="S25" s="23">
        <v>-151</v>
      </c>
      <c r="T25" s="23">
        <v>-212</v>
      </c>
      <c r="U25" s="23">
        <v>-136</v>
      </c>
      <c r="V25" s="23">
        <v>-75</v>
      </c>
      <c r="W25" s="23">
        <v>-62</v>
      </c>
      <c r="X25" s="23">
        <v>-172</v>
      </c>
      <c r="Y25" s="23">
        <v>-242</v>
      </c>
      <c r="Z25" s="23">
        <v>-233</v>
      </c>
      <c r="AA25" s="23">
        <v>-261</v>
      </c>
      <c r="AB25" s="23">
        <v>-337</v>
      </c>
      <c r="AC25" s="23">
        <v>-221</v>
      </c>
      <c r="AD25" s="23">
        <v>-160</v>
      </c>
      <c r="AE25" s="23">
        <v>-206</v>
      </c>
      <c r="AF25" s="23">
        <v>-254</v>
      </c>
      <c r="AG25" s="23">
        <v>-221</v>
      </c>
      <c r="AH25" s="23">
        <v>-96</v>
      </c>
      <c r="AI25" s="23">
        <v>-87</v>
      </c>
      <c r="AJ25" s="23">
        <v>-242</v>
      </c>
      <c r="AK25" s="23">
        <v>-291</v>
      </c>
      <c r="AL25" s="23">
        <v>-385</v>
      </c>
      <c r="AM25" s="23">
        <v>-315</v>
      </c>
      <c r="AN25" s="23">
        <v>-285</v>
      </c>
      <c r="AO25" s="23">
        <v>-209</v>
      </c>
      <c r="AP25" s="23">
        <v>-239</v>
      </c>
      <c r="AQ25" s="23">
        <v>-200</v>
      </c>
      <c r="AR25" s="23">
        <v>-117</v>
      </c>
      <c r="AS25" s="23">
        <v>-81</v>
      </c>
      <c r="AT25" s="23">
        <v>-56</v>
      </c>
      <c r="AU25" s="23">
        <v>-44</v>
      </c>
      <c r="AV25" s="23">
        <v>-206</v>
      </c>
      <c r="AW25" s="23">
        <v>-254</v>
      </c>
      <c r="AX25" s="23">
        <v>-337</v>
      </c>
      <c r="AY25" s="23">
        <v>-422</v>
      </c>
      <c r="AZ25" s="23">
        <v>-221</v>
      </c>
      <c r="BA25" s="23">
        <v>-166</v>
      </c>
      <c r="BB25" s="23">
        <v>-145</v>
      </c>
      <c r="BC25" s="23">
        <v>-200</v>
      </c>
      <c r="BD25" s="23">
        <v>-184</v>
      </c>
      <c r="BE25" s="23">
        <v>-1</v>
      </c>
      <c r="BF25" s="23">
        <v>-14</v>
      </c>
      <c r="BG25" s="23">
        <v>-17</v>
      </c>
      <c r="BH25" s="23">
        <v>-212</v>
      </c>
      <c r="BI25" s="23">
        <v>-294</v>
      </c>
      <c r="BJ25" s="23">
        <v>-324</v>
      </c>
      <c r="BK25" s="23">
        <v>-347</v>
      </c>
      <c r="BL25" s="23">
        <v>-303</v>
      </c>
      <c r="BM25" s="23">
        <v>-234</v>
      </c>
      <c r="BN25" s="23">
        <v>-227</v>
      </c>
      <c r="BO25" s="23">
        <v>-240</v>
      </c>
      <c r="BP25" s="23">
        <v>-208</v>
      </c>
      <c r="BQ25" s="23">
        <v>-133</v>
      </c>
      <c r="BR25" s="23">
        <v>-86</v>
      </c>
      <c r="BS25" s="23">
        <v>-24</v>
      </c>
      <c r="BT25" s="23">
        <v>-118</v>
      </c>
      <c r="BU25" s="23">
        <v>-254</v>
      </c>
      <c r="BV25" s="23">
        <v>-274</v>
      </c>
      <c r="BW25" s="23">
        <v>-262</v>
      </c>
      <c r="BX25" s="23">
        <v>-214</v>
      </c>
      <c r="BY25" s="23">
        <v>-99999</v>
      </c>
      <c r="BZ25" s="23">
        <v>-99999</v>
      </c>
      <c r="CA25" s="23">
        <v>-133</v>
      </c>
      <c r="CB25" s="23">
        <v>-140</v>
      </c>
      <c r="CC25" s="23">
        <v>-136</v>
      </c>
      <c r="CD25" s="23">
        <v>-82</v>
      </c>
      <c r="CE25" s="23">
        <v>-97</v>
      </c>
      <c r="CF25" s="23">
        <v>-241</v>
      </c>
      <c r="CG25" s="23">
        <v>-347</v>
      </c>
      <c r="CH25" s="23">
        <v>-275</v>
      </c>
      <c r="CI25" s="23">
        <v>-197</v>
      </c>
      <c r="CJ25" s="23">
        <v>-171</v>
      </c>
      <c r="CK25" s="23">
        <v>-99999</v>
      </c>
      <c r="CL25" s="23">
        <v>-131</v>
      </c>
      <c r="CM25" s="23">
        <v>-216</v>
      </c>
      <c r="CN25" s="23">
        <v>-253</v>
      </c>
      <c r="CO25" s="23">
        <v>-150</v>
      </c>
      <c r="CP25" s="23">
        <v>95</v>
      </c>
      <c r="CQ25" s="23">
        <v>-14</v>
      </c>
      <c r="CR25" s="23">
        <v>-169</v>
      </c>
      <c r="CS25" s="23">
        <v>-245</v>
      </c>
      <c r="CT25" s="23">
        <v>-227</v>
      </c>
      <c r="CU25" s="23">
        <v>-223</v>
      </c>
      <c r="CV25" s="23">
        <v>-204</v>
      </c>
      <c r="CW25" s="23">
        <v>-181</v>
      </c>
      <c r="CX25" s="23">
        <v>-133</v>
      </c>
      <c r="CY25" s="23">
        <v>-146</v>
      </c>
      <c r="CZ25" s="23">
        <v>-133</v>
      </c>
      <c r="DA25" s="23">
        <v>-130</v>
      </c>
      <c r="DB25" s="23">
        <v>-39</v>
      </c>
      <c r="DC25" s="23">
        <v>-96</v>
      </c>
      <c r="DD25" s="23">
        <v>-181</v>
      </c>
      <c r="DE25" s="23">
        <v>-269</v>
      </c>
      <c r="DF25" s="23">
        <v>-341</v>
      </c>
      <c r="DG25" s="23">
        <v>-337</v>
      </c>
      <c r="DH25" s="23">
        <v>-224</v>
      </c>
      <c r="DI25" s="23">
        <v>-218</v>
      </c>
      <c r="DJ25" s="23">
        <v>-185</v>
      </c>
      <c r="DK25" s="23">
        <v>-164</v>
      </c>
      <c r="DL25" s="23">
        <v>-161</v>
      </c>
      <c r="DM25" s="23">
        <v>-146</v>
      </c>
      <c r="DN25" s="23">
        <v>-81</v>
      </c>
      <c r="DO25" s="23">
        <v>-132</v>
      </c>
      <c r="DP25" s="23">
        <v>-141</v>
      </c>
      <c r="DQ25" s="23">
        <v>-341</v>
      </c>
      <c r="DR25" s="23">
        <v>-434</v>
      </c>
      <c r="DS25" s="23">
        <v>-380</v>
      </c>
      <c r="DT25" s="23">
        <v>-267</v>
      </c>
      <c r="DU25" s="23">
        <v>-226</v>
      </c>
      <c r="DV25" s="23">
        <v>-192</v>
      </c>
      <c r="DW25" s="23">
        <v>-218</v>
      </c>
      <c r="DX25" s="23">
        <v>-151</v>
      </c>
      <c r="DY25" s="23">
        <v>-97</v>
      </c>
      <c r="DZ25" s="23">
        <v>-67</v>
      </c>
      <c r="EA25" s="23">
        <v>-99</v>
      </c>
      <c r="EB25" s="23">
        <v>-109</v>
      </c>
      <c r="EC25" s="23">
        <v>-219</v>
      </c>
      <c r="ED25" s="23">
        <v>-350</v>
      </c>
      <c r="EE25" s="23">
        <v>-314</v>
      </c>
      <c r="EF25" s="23">
        <v>-270</v>
      </c>
      <c r="EG25" s="23">
        <v>-211</v>
      </c>
      <c r="EH25" s="23">
        <v>-182</v>
      </c>
      <c r="EI25" s="23">
        <v>-139</v>
      </c>
      <c r="EJ25" s="23">
        <v>-186</v>
      </c>
      <c r="EK25" s="23">
        <v>-92</v>
      </c>
      <c r="EL25" s="23">
        <v>46</v>
      </c>
      <c r="EM25" s="23">
        <v>-24</v>
      </c>
      <c r="EN25" s="23">
        <v>-229</v>
      </c>
      <c r="EO25" s="23">
        <v>-282</v>
      </c>
      <c r="EP25" s="23">
        <v>-357</v>
      </c>
      <c r="EQ25" s="23">
        <v>-264</v>
      </c>
      <c r="ER25" s="23">
        <v>-175</v>
      </c>
      <c r="ES25" s="23">
        <v>-184</v>
      </c>
      <c r="ET25" s="23">
        <v>-142</v>
      </c>
      <c r="EU25" s="23">
        <v>-115</v>
      </c>
      <c r="EV25" s="23">
        <v>-67</v>
      </c>
      <c r="EW25" s="23">
        <v>-47</v>
      </c>
      <c r="EX25" s="23">
        <v>39</v>
      </c>
      <c r="EY25" s="23">
        <v>-5</v>
      </c>
      <c r="EZ25" s="23">
        <v>-60</v>
      </c>
      <c r="FA25" s="23">
        <v>-204</v>
      </c>
      <c r="FB25" s="23">
        <v>-261</v>
      </c>
      <c r="FC25" s="23">
        <v>-277</v>
      </c>
      <c r="FD25" s="23">
        <v>-244</v>
      </c>
      <c r="FE25" s="23">
        <v>-99999</v>
      </c>
      <c r="FF25" s="23">
        <v>-99999</v>
      </c>
      <c r="FG25" s="23">
        <v>-99999</v>
      </c>
      <c r="FH25" s="23">
        <v>-164</v>
      </c>
      <c r="FI25" s="23">
        <v>-148</v>
      </c>
      <c r="FJ25" s="23">
        <v>-99999</v>
      </c>
      <c r="FK25" s="23">
        <v>-99999</v>
      </c>
      <c r="FL25" s="23">
        <v>-99999</v>
      </c>
      <c r="FM25" s="23">
        <v>-99999</v>
      </c>
      <c r="FN25" s="23">
        <v>-99999</v>
      </c>
      <c r="FO25" s="23">
        <v>-160</v>
      </c>
      <c r="FP25" s="23">
        <v>-261</v>
      </c>
      <c r="FQ25" s="23">
        <v>-121</v>
      </c>
      <c r="FR25" s="23">
        <v>-129</v>
      </c>
      <c r="FS25" s="23">
        <v>-37</v>
      </c>
      <c r="FT25" s="23">
        <v>-60</v>
      </c>
      <c r="FU25" s="23">
        <v>-45</v>
      </c>
      <c r="FV25" s="23">
        <v>21</v>
      </c>
      <c r="FW25" s="23">
        <v>-118</v>
      </c>
      <c r="FX25" s="23">
        <v>-217</v>
      </c>
      <c r="FY25" s="23">
        <v>-311</v>
      </c>
      <c r="FZ25" s="23">
        <v>-328</v>
      </c>
      <c r="GA25" s="23">
        <v>-311</v>
      </c>
      <c r="GB25" s="23">
        <v>-252</v>
      </c>
      <c r="GC25" s="23">
        <v>-217</v>
      </c>
      <c r="GD25" s="23">
        <v>-176</v>
      </c>
      <c r="GE25" s="23">
        <v>-175</v>
      </c>
      <c r="GF25" s="23">
        <v>-184</v>
      </c>
      <c r="GG25" s="23">
        <v>-145</v>
      </c>
      <c r="GH25" s="23">
        <v>-66</v>
      </c>
      <c r="GI25" s="23">
        <v>-98</v>
      </c>
      <c r="GJ25" s="23">
        <v>-225</v>
      </c>
      <c r="GK25" s="23">
        <v>-294</v>
      </c>
      <c r="GL25" s="23">
        <v>-319</v>
      </c>
      <c r="GM25" s="23">
        <v>-349</v>
      </c>
      <c r="GN25" s="23">
        <v>-295</v>
      </c>
      <c r="GO25" s="23">
        <v>-232</v>
      </c>
      <c r="GP25" s="23">
        <v>-116</v>
      </c>
      <c r="GQ25" s="23">
        <v>-126</v>
      </c>
      <c r="GR25" s="23">
        <v>-167</v>
      </c>
      <c r="GS25" s="23">
        <v>-97</v>
      </c>
      <c r="GT25" s="23">
        <v>-59</v>
      </c>
      <c r="GU25" s="23">
        <v>-21</v>
      </c>
      <c r="GV25" s="23">
        <v>-185</v>
      </c>
      <c r="GW25" s="23">
        <v>-249</v>
      </c>
      <c r="GX25" s="23">
        <v>-301</v>
      </c>
      <c r="GY25" s="23">
        <v>-268</v>
      </c>
      <c r="GZ25" s="23">
        <v>-250</v>
      </c>
      <c r="HA25" s="23">
        <v>-182</v>
      </c>
      <c r="HB25" s="23">
        <v>-131</v>
      </c>
      <c r="HC25" s="23">
        <v>-145</v>
      </c>
      <c r="HD25" s="23">
        <v>-116</v>
      </c>
      <c r="HE25" s="23">
        <v>-132</v>
      </c>
      <c r="HF25" s="23">
        <v>115</v>
      </c>
      <c r="HG25" s="23">
        <v>-56</v>
      </c>
      <c r="HH25" s="23">
        <v>-171</v>
      </c>
      <c r="HI25" s="23">
        <v>-247</v>
      </c>
      <c r="HJ25" s="23">
        <v>-341</v>
      </c>
      <c r="HK25" s="23">
        <v>-317</v>
      </c>
      <c r="HL25" s="23">
        <v>-189</v>
      </c>
      <c r="HM25" s="23">
        <v>-135</v>
      </c>
      <c r="HN25" s="23">
        <v>-103</v>
      </c>
      <c r="HO25" s="23">
        <v>-121</v>
      </c>
      <c r="HP25" s="23">
        <v>-118</v>
      </c>
      <c r="HQ25" s="23">
        <v>-51</v>
      </c>
      <c r="HR25" s="23">
        <v>93</v>
      </c>
      <c r="HS25" s="23">
        <v>0</v>
      </c>
      <c r="HT25" s="23">
        <v>-36</v>
      </c>
      <c r="HU25" s="23">
        <v>-106</v>
      </c>
      <c r="HV25" s="23">
        <v>-249</v>
      </c>
      <c r="HW25" s="23">
        <v>-235</v>
      </c>
      <c r="HX25" s="23">
        <v>-234</v>
      </c>
      <c r="HY25" s="23">
        <v>-197</v>
      </c>
      <c r="HZ25" s="23">
        <v>-103</v>
      </c>
      <c r="IA25" s="23">
        <v>-59</v>
      </c>
      <c r="IB25" s="23">
        <v>-22</v>
      </c>
      <c r="IC25" s="23">
        <v>-19</v>
      </c>
      <c r="ID25" s="23">
        <v>55</v>
      </c>
      <c r="IE25" s="23">
        <v>-123</v>
      </c>
      <c r="IF25" s="23">
        <v>-134</v>
      </c>
      <c r="IG25" s="23">
        <v>-351</v>
      </c>
      <c r="IH25" s="23">
        <v>-354</v>
      </c>
      <c r="II25" s="23">
        <v>-344</v>
      </c>
      <c r="IJ25" s="23">
        <v>-204</v>
      </c>
      <c r="IK25" s="23">
        <v>-182</v>
      </c>
      <c r="IL25" s="23">
        <v>-174</v>
      </c>
      <c r="IM25" s="23">
        <v>-145</v>
      </c>
      <c r="IN25" s="23">
        <v>-91</v>
      </c>
      <c r="IO25" s="23">
        <v>-122</v>
      </c>
      <c r="IP25" s="23">
        <v>-46</v>
      </c>
      <c r="IQ25" s="23">
        <v>-132</v>
      </c>
      <c r="IR25" s="23">
        <v>-125</v>
      </c>
      <c r="IS25" s="23">
        <v>-190</v>
      </c>
      <c r="IT25" s="23">
        <v>-283</v>
      </c>
      <c r="IU25" s="23">
        <v>-252</v>
      </c>
      <c r="IV25" s="23">
        <v>-99999</v>
      </c>
      <c r="IW25" s="23">
        <v>-149</v>
      </c>
      <c r="IX25" s="23">
        <v>-101</v>
      </c>
      <c r="IY25" s="23">
        <v>16</v>
      </c>
      <c r="IZ25" s="23">
        <v>-38</v>
      </c>
      <c r="JA25" s="23">
        <v>26</v>
      </c>
      <c r="JB25" s="23">
        <v>-99999</v>
      </c>
      <c r="JC25" s="23">
        <v>-65</v>
      </c>
      <c r="JD25" s="23">
        <v>-93</v>
      </c>
      <c r="JE25" s="23">
        <v>-160</v>
      </c>
      <c r="JF25" s="23">
        <v>-231</v>
      </c>
      <c r="JG25" s="23">
        <v>-201</v>
      </c>
      <c r="JH25" s="23">
        <v>-188</v>
      </c>
      <c r="JI25" s="23">
        <v>-120</v>
      </c>
      <c r="JJ25" s="23">
        <v>-121</v>
      </c>
      <c r="JK25" s="23">
        <v>-99999</v>
      </c>
      <c r="JL25" s="23">
        <v>-99999</v>
      </c>
      <c r="JM25" s="23">
        <v>-99999</v>
      </c>
      <c r="JN25" s="23">
        <v>34</v>
      </c>
      <c r="JO25" s="23">
        <v>16</v>
      </c>
      <c r="JP25" s="23">
        <v>-46</v>
      </c>
      <c r="JQ25" s="23">
        <v>-166</v>
      </c>
      <c r="JR25" s="23">
        <v>-304</v>
      </c>
      <c r="JS25" s="23">
        <v>-235</v>
      </c>
      <c r="JT25" s="23">
        <v>-212</v>
      </c>
      <c r="JU25" s="23">
        <v>-92</v>
      </c>
      <c r="JV25" s="23">
        <v>-48</v>
      </c>
      <c r="JW25" s="23">
        <v>-52</v>
      </c>
      <c r="JX25" s="23">
        <v>-145</v>
      </c>
      <c r="JY25" s="23">
        <v>-74</v>
      </c>
      <c r="JZ25" s="23">
        <v>32</v>
      </c>
      <c r="KA25" s="23">
        <v>-23</v>
      </c>
      <c r="KB25" s="23">
        <v>-141</v>
      </c>
      <c r="KC25" s="23">
        <v>-116</v>
      </c>
      <c r="KD25" s="23">
        <v>-250</v>
      </c>
      <c r="KE25" s="23">
        <v>-253</v>
      </c>
      <c r="KF25" s="23">
        <v>-248</v>
      </c>
      <c r="KG25" s="23">
        <v>-137</v>
      </c>
      <c r="KH25" s="23">
        <v>-85</v>
      </c>
      <c r="KI25" s="23">
        <v>-102</v>
      </c>
      <c r="KJ25" s="23">
        <v>-139</v>
      </c>
      <c r="KK25" s="23">
        <v>-53</v>
      </c>
      <c r="KL25" s="23">
        <v>-20</v>
      </c>
      <c r="KM25" s="23">
        <v>60</v>
      </c>
      <c r="KN25" s="23">
        <v>27</v>
      </c>
      <c r="KO25" s="23">
        <v>0</v>
      </c>
    </row>
    <row r="26" spans="1:301">
      <c r="A26" s="22">
        <v>16</v>
      </c>
      <c r="B26" s="23">
        <v>-247</v>
      </c>
      <c r="C26" s="23">
        <v>-350</v>
      </c>
      <c r="D26" s="23">
        <v>-213</v>
      </c>
      <c r="E26" s="23">
        <v>-137</v>
      </c>
      <c r="F26" s="23">
        <v>-43</v>
      </c>
      <c r="G26" s="23">
        <v>-161</v>
      </c>
      <c r="H26" s="23">
        <v>-122</v>
      </c>
      <c r="I26" s="23">
        <v>-116</v>
      </c>
      <c r="J26" s="23">
        <v>-67</v>
      </c>
      <c r="K26" s="23">
        <v>-116</v>
      </c>
      <c r="L26" s="23">
        <v>-222</v>
      </c>
      <c r="M26" s="23">
        <v>-326</v>
      </c>
      <c r="N26" s="23">
        <v>-311</v>
      </c>
      <c r="O26" s="23">
        <v>-235</v>
      </c>
      <c r="P26" s="23">
        <v>-311</v>
      </c>
      <c r="Q26" s="23">
        <v>-256</v>
      </c>
      <c r="R26" s="23">
        <v>-235</v>
      </c>
      <c r="S26" s="23">
        <v>-91</v>
      </c>
      <c r="T26" s="23">
        <v>-171</v>
      </c>
      <c r="U26" s="23">
        <v>-107</v>
      </c>
      <c r="V26" s="23">
        <v>-82</v>
      </c>
      <c r="W26" s="23">
        <v>-36</v>
      </c>
      <c r="X26" s="23">
        <v>-201</v>
      </c>
      <c r="Y26" s="23">
        <v>-271</v>
      </c>
      <c r="Z26" s="23">
        <v>-247</v>
      </c>
      <c r="AA26" s="23">
        <v>-259</v>
      </c>
      <c r="AB26" s="23">
        <v>-314</v>
      </c>
      <c r="AC26" s="23">
        <v>-235</v>
      </c>
      <c r="AD26" s="23">
        <v>-143</v>
      </c>
      <c r="AE26" s="23">
        <v>-192</v>
      </c>
      <c r="AF26" s="23">
        <v>-207</v>
      </c>
      <c r="AG26" s="23">
        <v>-158</v>
      </c>
      <c r="AH26" s="23">
        <v>-91</v>
      </c>
      <c r="AI26" s="23">
        <v>-70</v>
      </c>
      <c r="AJ26" s="23">
        <v>-259</v>
      </c>
      <c r="AK26" s="23">
        <v>-283</v>
      </c>
      <c r="AL26" s="23">
        <v>-384</v>
      </c>
      <c r="AM26" s="23">
        <v>-311</v>
      </c>
      <c r="AN26" s="23">
        <v>-271</v>
      </c>
      <c r="AO26" s="23">
        <v>-192</v>
      </c>
      <c r="AP26" s="23">
        <v>-210</v>
      </c>
      <c r="AQ26" s="23">
        <v>-171</v>
      </c>
      <c r="AR26" s="23">
        <v>-107</v>
      </c>
      <c r="AS26" s="23">
        <v>-99999</v>
      </c>
      <c r="AT26" s="23">
        <v>-99999</v>
      </c>
      <c r="AU26" s="23">
        <v>-99999</v>
      </c>
      <c r="AV26" s="23">
        <v>-99999</v>
      </c>
      <c r="AW26" s="23">
        <v>-99999</v>
      </c>
      <c r="AX26" s="23">
        <v>-99999</v>
      </c>
      <c r="AY26" s="23">
        <v>-414</v>
      </c>
      <c r="AZ26" s="23">
        <v>-247</v>
      </c>
      <c r="BA26" s="23">
        <v>-158</v>
      </c>
      <c r="BB26" s="23">
        <v>-119</v>
      </c>
      <c r="BC26" s="23">
        <v>-161</v>
      </c>
      <c r="BD26" s="23">
        <v>-122</v>
      </c>
      <c r="BE26" s="23">
        <v>-3</v>
      </c>
      <c r="BF26" s="23">
        <v>12</v>
      </c>
      <c r="BG26" s="23" t="s">
        <v>22</v>
      </c>
      <c r="BH26" s="23" t="s">
        <v>22</v>
      </c>
      <c r="BI26" s="23" t="s">
        <v>22</v>
      </c>
      <c r="BJ26" s="23" t="s">
        <v>22</v>
      </c>
      <c r="BK26" s="23" t="s">
        <v>22</v>
      </c>
      <c r="BL26" s="23" t="s">
        <v>22</v>
      </c>
      <c r="BM26" s="23" t="s">
        <v>22</v>
      </c>
      <c r="BN26" s="23" t="s">
        <v>22</v>
      </c>
      <c r="BO26" s="23" t="s">
        <v>22</v>
      </c>
      <c r="BP26" s="23" t="s">
        <v>22</v>
      </c>
      <c r="BQ26" s="23" t="s">
        <v>22</v>
      </c>
      <c r="BR26" s="23" t="s">
        <v>22</v>
      </c>
      <c r="BS26" s="23" t="s">
        <v>22</v>
      </c>
      <c r="BT26" s="23" t="s">
        <v>22</v>
      </c>
      <c r="BU26" s="23" t="s">
        <v>22</v>
      </c>
      <c r="BV26" s="23" t="s">
        <v>22</v>
      </c>
      <c r="BW26" s="23" t="s">
        <v>22</v>
      </c>
      <c r="BX26" s="23" t="s">
        <v>22</v>
      </c>
      <c r="BY26" s="23" t="s">
        <v>22</v>
      </c>
      <c r="BZ26" s="23" t="s">
        <v>22</v>
      </c>
      <c r="CA26" s="23" t="s">
        <v>22</v>
      </c>
      <c r="CB26" s="23" t="s">
        <v>22</v>
      </c>
      <c r="CC26" s="23" t="s">
        <v>22</v>
      </c>
      <c r="CD26" s="23" t="s">
        <v>22</v>
      </c>
      <c r="CE26" s="23" t="s">
        <v>22</v>
      </c>
      <c r="CF26" s="23" t="s">
        <v>22</v>
      </c>
      <c r="CG26" s="23" t="s">
        <v>22</v>
      </c>
      <c r="CH26" s="23" t="s">
        <v>22</v>
      </c>
      <c r="CI26" s="23" t="s">
        <v>22</v>
      </c>
      <c r="CJ26" s="23" t="s">
        <v>22</v>
      </c>
      <c r="CK26" s="23" t="s">
        <v>22</v>
      </c>
      <c r="CL26" s="23" t="s">
        <v>22</v>
      </c>
      <c r="CM26" s="23" t="s">
        <v>22</v>
      </c>
      <c r="CN26" s="23" t="s">
        <v>22</v>
      </c>
      <c r="CO26" s="23" t="s">
        <v>22</v>
      </c>
      <c r="CP26" s="23" t="s">
        <v>22</v>
      </c>
      <c r="CQ26" s="23" t="s">
        <v>22</v>
      </c>
      <c r="CR26" s="23" t="s">
        <v>22</v>
      </c>
      <c r="CS26" s="23" t="s">
        <v>22</v>
      </c>
      <c r="CT26" s="23" t="s">
        <v>22</v>
      </c>
      <c r="CU26" s="23" t="s">
        <v>22</v>
      </c>
      <c r="CV26" s="23" t="s">
        <v>22</v>
      </c>
      <c r="CW26" s="23" t="s">
        <v>22</v>
      </c>
      <c r="CX26" s="23" t="s">
        <v>22</v>
      </c>
      <c r="CY26" s="23" t="s">
        <v>22</v>
      </c>
      <c r="CZ26" s="23" t="s">
        <v>22</v>
      </c>
      <c r="DA26" s="23" t="s">
        <v>22</v>
      </c>
      <c r="DB26" s="23" t="s">
        <v>22</v>
      </c>
      <c r="DC26" s="23" t="s">
        <v>22</v>
      </c>
      <c r="DD26" s="23" t="s">
        <v>22</v>
      </c>
      <c r="DE26" s="23" t="s">
        <v>22</v>
      </c>
      <c r="DF26" s="23" t="s">
        <v>22</v>
      </c>
      <c r="DG26" s="23" t="s">
        <v>22</v>
      </c>
      <c r="DH26" s="23" t="s">
        <v>22</v>
      </c>
      <c r="DI26" s="23" t="s">
        <v>22</v>
      </c>
      <c r="DJ26" s="23" t="s">
        <v>22</v>
      </c>
      <c r="DK26" s="23" t="s">
        <v>22</v>
      </c>
      <c r="DL26" s="23" t="s">
        <v>22</v>
      </c>
      <c r="DM26" s="23" t="s">
        <v>22</v>
      </c>
      <c r="DN26" s="23" t="s">
        <v>22</v>
      </c>
      <c r="DO26" s="23" t="s">
        <v>22</v>
      </c>
      <c r="DP26" s="23" t="s">
        <v>22</v>
      </c>
      <c r="DQ26" s="23" t="s">
        <v>22</v>
      </c>
      <c r="DR26" s="23" t="s">
        <v>22</v>
      </c>
      <c r="DS26" s="23" t="s">
        <v>22</v>
      </c>
      <c r="DT26" s="23" t="s">
        <v>22</v>
      </c>
      <c r="DU26" s="23" t="s">
        <v>22</v>
      </c>
      <c r="DV26" s="23" t="s">
        <v>22</v>
      </c>
      <c r="DW26" s="23" t="s">
        <v>22</v>
      </c>
      <c r="DX26" s="23" t="s">
        <v>22</v>
      </c>
      <c r="DY26" s="23" t="s">
        <v>22</v>
      </c>
      <c r="DZ26" s="23" t="s">
        <v>22</v>
      </c>
      <c r="EA26" s="23" t="s">
        <v>22</v>
      </c>
      <c r="EB26" s="23" t="s">
        <v>22</v>
      </c>
      <c r="EC26" s="23" t="s">
        <v>22</v>
      </c>
      <c r="ED26" s="23" t="s">
        <v>22</v>
      </c>
      <c r="EE26" s="23" t="s">
        <v>22</v>
      </c>
      <c r="EF26" s="23" t="s">
        <v>22</v>
      </c>
      <c r="EG26" s="23" t="s">
        <v>22</v>
      </c>
      <c r="EH26" s="23" t="s">
        <v>22</v>
      </c>
      <c r="EI26" s="23" t="s">
        <v>22</v>
      </c>
      <c r="EJ26" s="23" t="s">
        <v>22</v>
      </c>
      <c r="EK26" s="23" t="s">
        <v>22</v>
      </c>
      <c r="EL26" s="23" t="s">
        <v>22</v>
      </c>
      <c r="EM26" s="23" t="s">
        <v>22</v>
      </c>
      <c r="EN26" s="23" t="s">
        <v>22</v>
      </c>
      <c r="EO26" s="23" t="s">
        <v>22</v>
      </c>
      <c r="EP26" s="23" t="s">
        <v>22</v>
      </c>
      <c r="EQ26" s="23" t="s">
        <v>22</v>
      </c>
      <c r="ER26" s="23" t="s">
        <v>22</v>
      </c>
      <c r="ES26" s="23" t="s">
        <v>22</v>
      </c>
      <c r="ET26" s="23" t="s">
        <v>22</v>
      </c>
      <c r="EU26" s="23" t="s">
        <v>22</v>
      </c>
      <c r="EV26" s="23" t="s">
        <v>22</v>
      </c>
      <c r="EW26" s="23" t="s">
        <v>22</v>
      </c>
      <c r="EX26" s="23" t="s">
        <v>22</v>
      </c>
      <c r="EY26" s="23" t="s">
        <v>22</v>
      </c>
      <c r="EZ26" s="23" t="s">
        <v>22</v>
      </c>
      <c r="FA26" s="23" t="s">
        <v>22</v>
      </c>
      <c r="FB26" s="23" t="s">
        <v>22</v>
      </c>
      <c r="FC26" s="23" t="s">
        <v>22</v>
      </c>
      <c r="FD26" s="23" t="s">
        <v>22</v>
      </c>
      <c r="FE26" s="23" t="s">
        <v>22</v>
      </c>
      <c r="FF26" s="23" t="s">
        <v>22</v>
      </c>
      <c r="FG26" s="23" t="s">
        <v>22</v>
      </c>
      <c r="FH26" s="23" t="s">
        <v>22</v>
      </c>
      <c r="FI26" s="23" t="s">
        <v>22</v>
      </c>
      <c r="FJ26" s="23" t="s">
        <v>22</v>
      </c>
      <c r="FK26" s="23" t="s">
        <v>22</v>
      </c>
      <c r="FL26" s="23" t="s">
        <v>22</v>
      </c>
      <c r="FM26" s="23" t="s">
        <v>22</v>
      </c>
      <c r="FN26" s="23" t="s">
        <v>22</v>
      </c>
      <c r="FO26" s="23" t="s">
        <v>22</v>
      </c>
      <c r="FP26" s="23" t="s">
        <v>22</v>
      </c>
      <c r="FQ26" s="23" t="s">
        <v>22</v>
      </c>
      <c r="FR26" s="23" t="s">
        <v>22</v>
      </c>
      <c r="FS26" s="23" t="s">
        <v>22</v>
      </c>
      <c r="FT26" s="23" t="s">
        <v>22</v>
      </c>
      <c r="FU26" s="23" t="s">
        <v>22</v>
      </c>
      <c r="FV26" s="23" t="s">
        <v>22</v>
      </c>
      <c r="FW26" s="23" t="s">
        <v>22</v>
      </c>
      <c r="FX26" s="23" t="s">
        <v>22</v>
      </c>
      <c r="FY26" s="23" t="s">
        <v>22</v>
      </c>
      <c r="FZ26" s="23" t="s">
        <v>22</v>
      </c>
      <c r="GA26" s="23" t="s">
        <v>22</v>
      </c>
      <c r="GB26" s="23" t="s">
        <v>22</v>
      </c>
      <c r="GC26" s="23" t="s">
        <v>22</v>
      </c>
      <c r="GD26" s="23" t="s">
        <v>22</v>
      </c>
      <c r="GE26" s="23" t="s">
        <v>22</v>
      </c>
      <c r="GF26" s="23" t="s">
        <v>22</v>
      </c>
      <c r="GG26" s="23" t="s">
        <v>22</v>
      </c>
      <c r="GH26" s="23" t="s">
        <v>22</v>
      </c>
      <c r="GI26" s="23" t="s">
        <v>22</v>
      </c>
      <c r="GJ26" s="23" t="s">
        <v>22</v>
      </c>
      <c r="GK26" s="23" t="s">
        <v>22</v>
      </c>
      <c r="GL26" s="23" t="s">
        <v>22</v>
      </c>
      <c r="GM26" s="23" t="s">
        <v>22</v>
      </c>
      <c r="GN26" s="23" t="s">
        <v>22</v>
      </c>
      <c r="GO26" s="23" t="s">
        <v>22</v>
      </c>
      <c r="GP26" s="23" t="s">
        <v>22</v>
      </c>
      <c r="GQ26" s="23" t="s">
        <v>22</v>
      </c>
      <c r="GR26" s="23" t="s">
        <v>22</v>
      </c>
      <c r="GS26" s="23" t="s">
        <v>22</v>
      </c>
      <c r="GT26" s="23" t="s">
        <v>22</v>
      </c>
      <c r="GU26" s="23" t="s">
        <v>22</v>
      </c>
      <c r="GV26" s="23" t="s">
        <v>22</v>
      </c>
      <c r="GW26" s="23" t="s">
        <v>22</v>
      </c>
      <c r="GX26" s="23" t="s">
        <v>22</v>
      </c>
      <c r="GY26" s="23" t="s">
        <v>22</v>
      </c>
      <c r="GZ26" s="23" t="s">
        <v>22</v>
      </c>
      <c r="HA26" s="23" t="s">
        <v>22</v>
      </c>
      <c r="HB26" s="23" t="s">
        <v>22</v>
      </c>
      <c r="HC26" s="23" t="s">
        <v>22</v>
      </c>
      <c r="HD26" s="23" t="s">
        <v>22</v>
      </c>
      <c r="HE26" s="23" t="s">
        <v>22</v>
      </c>
      <c r="HF26" s="23" t="s">
        <v>22</v>
      </c>
      <c r="HG26" s="23" t="s">
        <v>22</v>
      </c>
      <c r="HH26" s="23" t="s">
        <v>22</v>
      </c>
      <c r="HI26" s="23" t="s">
        <v>22</v>
      </c>
      <c r="HJ26" s="23" t="s">
        <v>22</v>
      </c>
      <c r="HK26" s="23" t="s">
        <v>22</v>
      </c>
      <c r="HL26" s="23" t="s">
        <v>22</v>
      </c>
      <c r="HM26" s="23" t="s">
        <v>22</v>
      </c>
      <c r="HN26" s="23" t="s">
        <v>22</v>
      </c>
      <c r="HO26" s="23" t="s">
        <v>22</v>
      </c>
      <c r="HP26" s="23" t="s">
        <v>22</v>
      </c>
      <c r="HQ26" s="23" t="s">
        <v>22</v>
      </c>
      <c r="HR26" s="23" t="s">
        <v>22</v>
      </c>
      <c r="HS26" s="23" t="s">
        <v>22</v>
      </c>
      <c r="HT26" s="23" t="s">
        <v>22</v>
      </c>
      <c r="HU26" s="23" t="s">
        <v>22</v>
      </c>
      <c r="HV26" s="23" t="s">
        <v>22</v>
      </c>
      <c r="HW26" s="23" t="s">
        <v>22</v>
      </c>
      <c r="HX26" s="23" t="s">
        <v>22</v>
      </c>
      <c r="HY26" s="23" t="s">
        <v>22</v>
      </c>
      <c r="HZ26" s="23" t="s">
        <v>22</v>
      </c>
      <c r="IA26" s="23" t="s">
        <v>22</v>
      </c>
      <c r="IB26" s="23" t="s">
        <v>22</v>
      </c>
      <c r="IC26" s="23" t="s">
        <v>22</v>
      </c>
      <c r="ID26" s="23" t="s">
        <v>22</v>
      </c>
      <c r="IE26" s="23" t="s">
        <v>22</v>
      </c>
      <c r="IF26" s="23" t="s">
        <v>22</v>
      </c>
      <c r="IG26" s="23" t="s">
        <v>22</v>
      </c>
      <c r="IH26" s="23" t="s">
        <v>22</v>
      </c>
      <c r="II26" s="23" t="s">
        <v>22</v>
      </c>
      <c r="IJ26" s="23" t="s">
        <v>22</v>
      </c>
      <c r="IK26" s="23" t="s">
        <v>22</v>
      </c>
      <c r="IL26" s="23" t="s">
        <v>22</v>
      </c>
      <c r="IM26" s="23" t="s">
        <v>22</v>
      </c>
      <c r="IN26" s="23" t="s">
        <v>22</v>
      </c>
      <c r="IO26" s="23" t="s">
        <v>22</v>
      </c>
      <c r="IP26" s="23" t="s">
        <v>22</v>
      </c>
      <c r="IQ26" s="23" t="s">
        <v>22</v>
      </c>
      <c r="IR26" s="23" t="s">
        <v>22</v>
      </c>
      <c r="IS26" s="23" t="s">
        <v>22</v>
      </c>
      <c r="IT26" s="23" t="s">
        <v>22</v>
      </c>
      <c r="IU26" s="23" t="s">
        <v>22</v>
      </c>
      <c r="IV26" s="23" t="s">
        <v>22</v>
      </c>
      <c r="IW26" s="23" t="s">
        <v>22</v>
      </c>
      <c r="IX26" s="23" t="s">
        <v>22</v>
      </c>
      <c r="IY26" s="23" t="s">
        <v>22</v>
      </c>
      <c r="IZ26" s="23" t="s">
        <v>22</v>
      </c>
      <c r="JA26" s="23" t="s">
        <v>22</v>
      </c>
      <c r="JB26" s="23" t="s">
        <v>22</v>
      </c>
      <c r="JC26" s="23" t="s">
        <v>22</v>
      </c>
      <c r="JD26" s="23" t="s">
        <v>22</v>
      </c>
      <c r="JE26" s="23" t="s">
        <v>22</v>
      </c>
      <c r="JF26" s="23" t="s">
        <v>22</v>
      </c>
      <c r="JG26" s="23" t="s">
        <v>22</v>
      </c>
      <c r="JH26" s="23" t="s">
        <v>22</v>
      </c>
      <c r="JI26" s="23" t="s">
        <v>22</v>
      </c>
      <c r="JJ26" s="23" t="s">
        <v>22</v>
      </c>
      <c r="JK26" s="23" t="s">
        <v>22</v>
      </c>
      <c r="JL26" s="23" t="s">
        <v>22</v>
      </c>
      <c r="JM26" s="23" t="s">
        <v>22</v>
      </c>
      <c r="JN26" s="23" t="s">
        <v>22</v>
      </c>
      <c r="JO26" s="23" t="s">
        <v>22</v>
      </c>
      <c r="JP26" s="23" t="s">
        <v>22</v>
      </c>
      <c r="JQ26" s="23" t="s">
        <v>22</v>
      </c>
      <c r="JR26" s="23" t="s">
        <v>22</v>
      </c>
      <c r="JS26" s="23" t="s">
        <v>22</v>
      </c>
      <c r="JT26" s="23" t="s">
        <v>22</v>
      </c>
      <c r="JU26" s="23" t="s">
        <v>22</v>
      </c>
      <c r="JV26" s="23" t="s">
        <v>22</v>
      </c>
      <c r="JW26" s="23" t="s">
        <v>22</v>
      </c>
      <c r="JX26" s="23" t="s">
        <v>22</v>
      </c>
      <c r="JY26" s="23" t="s">
        <v>22</v>
      </c>
      <c r="JZ26" s="23" t="s">
        <v>22</v>
      </c>
      <c r="KA26" s="23" t="s">
        <v>22</v>
      </c>
      <c r="KB26" s="23" t="s">
        <v>22</v>
      </c>
      <c r="KC26" s="23" t="s">
        <v>22</v>
      </c>
      <c r="KD26" s="23" t="s">
        <v>22</v>
      </c>
      <c r="KE26" s="23" t="s">
        <v>22</v>
      </c>
      <c r="KF26" s="23" t="s">
        <v>22</v>
      </c>
      <c r="KG26" s="23" t="s">
        <v>22</v>
      </c>
      <c r="KH26" s="23" t="s">
        <v>22</v>
      </c>
      <c r="KI26" s="23" t="s">
        <v>22</v>
      </c>
      <c r="KJ26" s="23" t="s">
        <v>22</v>
      </c>
      <c r="KK26" s="23" t="s">
        <v>22</v>
      </c>
      <c r="KL26" s="23" t="s">
        <v>22</v>
      </c>
      <c r="KM26" s="23" t="s">
        <v>22</v>
      </c>
      <c r="KN26" s="23" t="s">
        <v>22</v>
      </c>
      <c r="KO26" s="23">
        <v>0</v>
      </c>
    </row>
    <row r="27" spans="1:301">
      <c r="A27" s="22">
        <v>17</v>
      </c>
      <c r="B27" s="23">
        <v>-178</v>
      </c>
      <c r="C27" s="23">
        <v>-270</v>
      </c>
      <c r="D27" s="23">
        <v>-157</v>
      </c>
      <c r="E27" s="23">
        <v>-72</v>
      </c>
      <c r="F27" s="23">
        <v>-4</v>
      </c>
      <c r="G27" s="23">
        <v>-65</v>
      </c>
      <c r="H27" s="23">
        <v>-8</v>
      </c>
      <c r="I27" s="23">
        <v>-11</v>
      </c>
      <c r="J27" s="23">
        <v>-20</v>
      </c>
      <c r="K27" s="23">
        <v>-56</v>
      </c>
      <c r="L27" s="23">
        <v>-136</v>
      </c>
      <c r="M27" s="23">
        <v>-251</v>
      </c>
      <c r="N27" s="23">
        <v>-212</v>
      </c>
      <c r="O27" s="23">
        <v>-172</v>
      </c>
      <c r="P27" s="23">
        <v>-233</v>
      </c>
      <c r="Q27" s="23">
        <v>-175</v>
      </c>
      <c r="R27" s="23">
        <v>-154</v>
      </c>
      <c r="S27" s="23">
        <v>2</v>
      </c>
      <c r="T27" s="23">
        <v>-72</v>
      </c>
      <c r="U27" s="23">
        <v>-38</v>
      </c>
      <c r="V27" s="23">
        <v>-56</v>
      </c>
      <c r="W27" s="23">
        <v>-1</v>
      </c>
      <c r="X27" s="23">
        <v>-142</v>
      </c>
      <c r="Y27" s="23">
        <v>-193</v>
      </c>
      <c r="Z27" s="23">
        <v>-184</v>
      </c>
      <c r="AA27" s="23">
        <v>-181</v>
      </c>
      <c r="AB27" s="23">
        <v>-215</v>
      </c>
      <c r="AC27" s="23">
        <v>-129</v>
      </c>
      <c r="AD27" s="23">
        <v>-93</v>
      </c>
      <c r="AE27" s="23">
        <v>-111</v>
      </c>
      <c r="AF27" s="23">
        <v>-108</v>
      </c>
      <c r="AG27" s="23">
        <v>-68</v>
      </c>
      <c r="AH27" s="23">
        <v>-26</v>
      </c>
      <c r="AI27" s="23">
        <v>-8</v>
      </c>
      <c r="AJ27" s="23">
        <v>-196</v>
      </c>
      <c r="AK27" s="23">
        <v>-200</v>
      </c>
      <c r="AL27" s="23">
        <v>-306</v>
      </c>
      <c r="AM27" s="23">
        <v>-248</v>
      </c>
      <c r="AN27" s="23">
        <v>-169</v>
      </c>
      <c r="AO27" s="23">
        <v>-129</v>
      </c>
      <c r="AP27" s="23">
        <v>-129</v>
      </c>
      <c r="AQ27" s="23">
        <v>-78</v>
      </c>
      <c r="AR27" s="23">
        <v>-44</v>
      </c>
      <c r="AS27" s="23">
        <v>2</v>
      </c>
      <c r="AT27" s="23">
        <v>-4</v>
      </c>
      <c r="AU27" s="23">
        <v>-20</v>
      </c>
      <c r="AV27" s="23">
        <v>-145</v>
      </c>
      <c r="AW27" s="23">
        <v>-175</v>
      </c>
      <c r="AX27" s="23">
        <v>-224</v>
      </c>
      <c r="AY27" s="23">
        <v>-321</v>
      </c>
      <c r="AZ27" s="23">
        <v>-178</v>
      </c>
      <c r="BA27" s="23">
        <v>-111</v>
      </c>
      <c r="BB27" s="23">
        <v>-44</v>
      </c>
      <c r="BC27" s="23">
        <v>-75</v>
      </c>
      <c r="BD27" s="23">
        <v>-50</v>
      </c>
      <c r="BE27" s="23">
        <v>38</v>
      </c>
      <c r="BF27" s="23">
        <v>60</v>
      </c>
      <c r="BG27" s="23">
        <v>-99999</v>
      </c>
      <c r="BH27" s="23">
        <v>-99999</v>
      </c>
      <c r="BI27" s="23">
        <v>-99999</v>
      </c>
      <c r="BJ27" s="23">
        <v>-99999</v>
      </c>
      <c r="BK27" s="23">
        <v>-99999</v>
      </c>
      <c r="BL27" s="23">
        <v>-99999</v>
      </c>
      <c r="BM27" s="23">
        <v>-99999</v>
      </c>
      <c r="BN27" s="23">
        <v>-99999</v>
      </c>
      <c r="BO27" s="23">
        <v>-154</v>
      </c>
      <c r="BP27" s="23">
        <v>-64</v>
      </c>
      <c r="BQ27" s="23">
        <v>-38</v>
      </c>
      <c r="BR27" s="23">
        <v>3</v>
      </c>
      <c r="BS27" s="23">
        <v>-14</v>
      </c>
      <c r="BT27" s="23">
        <v>-115</v>
      </c>
      <c r="BU27" s="23">
        <v>-171</v>
      </c>
      <c r="BV27" s="23">
        <v>-224</v>
      </c>
      <c r="BW27" s="23">
        <v>-228</v>
      </c>
      <c r="BX27" s="23">
        <v>-159</v>
      </c>
      <c r="BY27" s="23">
        <v>-99999</v>
      </c>
      <c r="BZ27" s="23">
        <v>-119</v>
      </c>
      <c r="CA27" s="23">
        <v>-76</v>
      </c>
      <c r="CB27" s="23">
        <v>-56</v>
      </c>
      <c r="CC27" s="23">
        <v>-73</v>
      </c>
      <c r="CD27" s="23">
        <v>-11</v>
      </c>
      <c r="CE27" s="23">
        <v>-61</v>
      </c>
      <c r="CF27" s="23">
        <v>-160</v>
      </c>
      <c r="CG27" s="23">
        <v>-251</v>
      </c>
      <c r="CH27" s="23">
        <v>-99999</v>
      </c>
      <c r="CI27" s="23">
        <v>-99999</v>
      </c>
      <c r="CJ27" s="23">
        <v>-99999</v>
      </c>
      <c r="CK27" s="23">
        <v>-99999</v>
      </c>
      <c r="CL27" s="23">
        <v>-99999</v>
      </c>
      <c r="CM27" s="23">
        <v>-99999</v>
      </c>
      <c r="CN27" s="23">
        <v>-99999</v>
      </c>
      <c r="CO27" s="23">
        <v>-99999</v>
      </c>
      <c r="CP27" s="23">
        <v>-99999</v>
      </c>
      <c r="CQ27" s="23">
        <v>-99999</v>
      </c>
      <c r="CR27" s="23">
        <v>-99999</v>
      </c>
      <c r="CS27" s="23">
        <v>-99999</v>
      </c>
      <c r="CT27" s="23">
        <v>-99999</v>
      </c>
      <c r="CU27" s="23">
        <v>-99999</v>
      </c>
      <c r="CV27" s="23">
        <v>-99999</v>
      </c>
      <c r="CW27" s="23">
        <v>-99999</v>
      </c>
      <c r="CX27" s="23">
        <v>-99999</v>
      </c>
      <c r="CY27" s="23">
        <v>-99999</v>
      </c>
      <c r="CZ27" s="23">
        <v>-99999</v>
      </c>
      <c r="DA27" s="23">
        <v>-99999</v>
      </c>
      <c r="DB27" s="23">
        <v>64</v>
      </c>
      <c r="DC27" s="23">
        <v>-73</v>
      </c>
      <c r="DD27" s="23">
        <v>-153</v>
      </c>
      <c r="DE27" s="23">
        <v>-228</v>
      </c>
      <c r="DF27" s="23">
        <v>-295</v>
      </c>
      <c r="DG27" s="23">
        <v>-274</v>
      </c>
      <c r="DH27" s="23">
        <v>-154</v>
      </c>
      <c r="DI27" s="23">
        <v>-139</v>
      </c>
      <c r="DJ27" s="23">
        <v>-110</v>
      </c>
      <c r="DK27" s="23">
        <v>-99999</v>
      </c>
      <c r="DL27" s="23">
        <v>-99999</v>
      </c>
      <c r="DM27" s="23">
        <v>-99999</v>
      </c>
      <c r="DN27" s="23">
        <v>-27</v>
      </c>
      <c r="DO27" s="23">
        <v>-125</v>
      </c>
      <c r="DP27" s="23">
        <v>-87</v>
      </c>
      <c r="DQ27" s="23">
        <v>-299</v>
      </c>
      <c r="DR27" s="23">
        <v>-369</v>
      </c>
      <c r="DS27" s="23">
        <v>-338</v>
      </c>
      <c r="DT27" s="23">
        <v>-231</v>
      </c>
      <c r="DU27" s="23">
        <v>-224</v>
      </c>
      <c r="DV27" s="23">
        <v>-157</v>
      </c>
      <c r="DW27" s="23">
        <v>-152</v>
      </c>
      <c r="DX27" s="23">
        <v>-78</v>
      </c>
      <c r="DY27" s="23">
        <v>-58</v>
      </c>
      <c r="DZ27" s="23">
        <v>-88</v>
      </c>
      <c r="EA27" s="23">
        <v>-139</v>
      </c>
      <c r="EB27" s="23">
        <v>-117</v>
      </c>
      <c r="EC27" s="23">
        <v>-171</v>
      </c>
      <c r="ED27" s="23">
        <v>-294</v>
      </c>
      <c r="EE27" s="23">
        <v>-294</v>
      </c>
      <c r="EF27" s="23">
        <v>-254</v>
      </c>
      <c r="EG27" s="23">
        <v>-149</v>
      </c>
      <c r="EH27" s="23">
        <v>-145</v>
      </c>
      <c r="EI27" s="23">
        <v>-86</v>
      </c>
      <c r="EJ27" s="23">
        <v>-102</v>
      </c>
      <c r="EK27" s="23">
        <v>-54</v>
      </c>
      <c r="EL27" s="23">
        <v>46</v>
      </c>
      <c r="EM27" s="23">
        <v>-2</v>
      </c>
      <c r="EN27" s="23">
        <v>-183</v>
      </c>
      <c r="EO27" s="23">
        <v>-272</v>
      </c>
      <c r="EP27" s="23">
        <v>-333</v>
      </c>
      <c r="EQ27" s="23">
        <v>-259</v>
      </c>
      <c r="ER27" s="23">
        <v>-156</v>
      </c>
      <c r="ES27" s="23">
        <v>-114</v>
      </c>
      <c r="ET27" s="23">
        <v>-96</v>
      </c>
      <c r="EU27" s="23">
        <v>-54</v>
      </c>
      <c r="EV27" s="23">
        <v>-47</v>
      </c>
      <c r="EW27" s="23">
        <v>-18</v>
      </c>
      <c r="EX27" s="23">
        <v>4</v>
      </c>
      <c r="EY27" s="23">
        <v>-2</v>
      </c>
      <c r="EZ27" s="23">
        <v>-56</v>
      </c>
      <c r="FA27" s="23">
        <v>-181</v>
      </c>
      <c r="FB27" s="23">
        <v>-198</v>
      </c>
      <c r="FC27" s="23">
        <v>-225</v>
      </c>
      <c r="FD27" s="23">
        <v>-216</v>
      </c>
      <c r="FE27" s="23">
        <v>-167</v>
      </c>
      <c r="FF27" s="23">
        <v>-96</v>
      </c>
      <c r="FG27" s="23">
        <v>-63</v>
      </c>
      <c r="FH27" s="23">
        <v>-71</v>
      </c>
      <c r="FI27" s="23">
        <v>-70</v>
      </c>
      <c r="FJ27" s="23">
        <v>-60</v>
      </c>
      <c r="FK27" s="23">
        <v>-13</v>
      </c>
      <c r="FL27" s="23">
        <v>-61</v>
      </c>
      <c r="FM27" s="23">
        <v>-280</v>
      </c>
      <c r="FN27" s="23">
        <v>-226</v>
      </c>
      <c r="FO27" s="23">
        <v>-131</v>
      </c>
      <c r="FP27" s="23">
        <v>-182</v>
      </c>
      <c r="FQ27" s="23">
        <v>-125</v>
      </c>
      <c r="FR27" s="23">
        <v>-82</v>
      </c>
      <c r="FS27" s="23">
        <v>-19</v>
      </c>
      <c r="FT27" s="23">
        <v>-11</v>
      </c>
      <c r="FU27" s="23">
        <v>-19</v>
      </c>
      <c r="FV27" s="23">
        <v>-6</v>
      </c>
      <c r="FW27" s="23">
        <v>-103</v>
      </c>
      <c r="FX27" s="23">
        <v>-143</v>
      </c>
      <c r="FY27" s="23">
        <v>-249</v>
      </c>
      <c r="FZ27" s="23">
        <v>-248</v>
      </c>
      <c r="GA27" s="23">
        <v>-233</v>
      </c>
      <c r="GB27" s="23">
        <v>-180</v>
      </c>
      <c r="GC27" s="23">
        <v>-145</v>
      </c>
      <c r="GD27" s="23">
        <v>-82</v>
      </c>
      <c r="GE27" s="23">
        <v>-64</v>
      </c>
      <c r="GF27" s="23">
        <v>-107</v>
      </c>
      <c r="GG27" s="23">
        <v>-48</v>
      </c>
      <c r="GH27" s="23">
        <v>24</v>
      </c>
      <c r="GI27" s="23">
        <v>-39</v>
      </c>
      <c r="GJ27" s="23">
        <v>-171</v>
      </c>
      <c r="GK27" s="23">
        <v>-237</v>
      </c>
      <c r="GL27" s="23">
        <v>-247</v>
      </c>
      <c r="GM27" s="23">
        <v>-252</v>
      </c>
      <c r="GN27" s="23">
        <v>-236</v>
      </c>
      <c r="GO27" s="23">
        <v>-194</v>
      </c>
      <c r="GP27" s="23">
        <v>-82</v>
      </c>
      <c r="GQ27" s="23">
        <v>-68</v>
      </c>
      <c r="GR27" s="23">
        <v>-61</v>
      </c>
      <c r="GS27" s="23">
        <v>-4</v>
      </c>
      <c r="GT27" s="23">
        <v>-42</v>
      </c>
      <c r="GU27" s="23">
        <v>-50</v>
      </c>
      <c r="GV27" s="23">
        <v>-155</v>
      </c>
      <c r="GW27" s="23">
        <v>-198</v>
      </c>
      <c r="GX27" s="23">
        <v>-304</v>
      </c>
      <c r="GY27" s="23">
        <v>-254</v>
      </c>
      <c r="GZ27" s="23">
        <v>-238</v>
      </c>
      <c r="HA27" s="23">
        <v>-144</v>
      </c>
      <c r="HB27" s="23">
        <v>-56</v>
      </c>
      <c r="HC27" s="23">
        <v>-76</v>
      </c>
      <c r="HD27" s="23">
        <v>-11</v>
      </c>
      <c r="HE27" s="23">
        <v>17</v>
      </c>
      <c r="HF27" s="23">
        <v>92</v>
      </c>
      <c r="HG27" s="23">
        <v>-48</v>
      </c>
      <c r="HH27" s="23">
        <v>-125</v>
      </c>
      <c r="HI27" s="23">
        <v>-221</v>
      </c>
      <c r="HJ27" s="23">
        <v>-301</v>
      </c>
      <c r="HK27" s="23">
        <v>-287</v>
      </c>
      <c r="HL27" s="23">
        <v>-156</v>
      </c>
      <c r="HM27" s="23">
        <v>-120</v>
      </c>
      <c r="HN27" s="23">
        <v>-121</v>
      </c>
      <c r="HO27" s="23">
        <v>-11</v>
      </c>
      <c r="HP27" s="23">
        <v>19</v>
      </c>
      <c r="HQ27" s="23">
        <v>22</v>
      </c>
      <c r="HR27" s="23">
        <v>102</v>
      </c>
      <c r="HS27" s="23">
        <v>28</v>
      </c>
      <c r="HT27" s="23">
        <v>-45</v>
      </c>
      <c r="HU27" s="23">
        <v>-126</v>
      </c>
      <c r="HV27" s="23">
        <v>-225</v>
      </c>
      <c r="HW27" s="23">
        <v>-248</v>
      </c>
      <c r="HX27" s="23">
        <v>-168</v>
      </c>
      <c r="HY27" s="23">
        <v>-149</v>
      </c>
      <c r="HZ27" s="23">
        <v>-51</v>
      </c>
      <c r="IA27" s="23">
        <v>8</v>
      </c>
      <c r="IB27" s="23">
        <v>21</v>
      </c>
      <c r="IC27" s="23">
        <v>76</v>
      </c>
      <c r="ID27" s="23">
        <v>88</v>
      </c>
      <c r="IE27" s="23">
        <v>-43</v>
      </c>
      <c r="IF27" s="23">
        <v>-93</v>
      </c>
      <c r="IG27" s="23">
        <v>-281</v>
      </c>
      <c r="IH27" s="23">
        <v>-274</v>
      </c>
      <c r="II27" s="23">
        <v>-259</v>
      </c>
      <c r="IJ27" s="23">
        <v>-133</v>
      </c>
      <c r="IK27" s="23">
        <v>-88</v>
      </c>
      <c r="IL27" s="23">
        <v>-70</v>
      </c>
      <c r="IM27" s="23">
        <v>-11</v>
      </c>
      <c r="IN27" s="23">
        <v>48</v>
      </c>
      <c r="IO27" s="23">
        <v>48</v>
      </c>
      <c r="IP27" s="23">
        <v>42</v>
      </c>
      <c r="IQ27" s="23">
        <v>-72</v>
      </c>
      <c r="IR27" s="23">
        <v>-91</v>
      </c>
      <c r="IS27" s="23">
        <v>-153</v>
      </c>
      <c r="IT27" s="23">
        <v>-201</v>
      </c>
      <c r="IU27" s="23">
        <v>-174</v>
      </c>
      <c r="IV27" s="23">
        <v>-89</v>
      </c>
      <c r="IW27" s="23">
        <v>-53</v>
      </c>
      <c r="IX27" s="23">
        <v>4</v>
      </c>
      <c r="IY27" s="23">
        <v>135</v>
      </c>
      <c r="IZ27" s="23">
        <v>63</v>
      </c>
      <c r="JA27" s="23">
        <v>107</v>
      </c>
      <c r="JB27" s="23">
        <v>57</v>
      </c>
      <c r="JC27" s="23">
        <v>-7</v>
      </c>
      <c r="JD27" s="23">
        <v>-18</v>
      </c>
      <c r="JE27" s="23">
        <v>-88</v>
      </c>
      <c r="JF27" s="23">
        <v>-166</v>
      </c>
      <c r="JG27" s="23">
        <v>-142</v>
      </c>
      <c r="JH27" s="23">
        <v>-186</v>
      </c>
      <c r="JI27" s="23">
        <v>-123</v>
      </c>
      <c r="JJ27" s="23">
        <v>-100</v>
      </c>
      <c r="JK27" s="23">
        <v>-99999</v>
      </c>
      <c r="JL27" s="23">
        <v>-99999</v>
      </c>
      <c r="JM27" s="23">
        <v>20</v>
      </c>
      <c r="JN27" s="23">
        <v>60</v>
      </c>
      <c r="JO27" s="23">
        <v>31</v>
      </c>
      <c r="JP27" s="23">
        <v>-91</v>
      </c>
      <c r="JQ27" s="23">
        <v>-113</v>
      </c>
      <c r="JR27" s="23">
        <v>-234</v>
      </c>
      <c r="JS27" s="23">
        <v>-135</v>
      </c>
      <c r="JT27" s="23">
        <v>-103</v>
      </c>
      <c r="JU27" s="23">
        <v>-43</v>
      </c>
      <c r="JV27" s="23">
        <v>-26</v>
      </c>
      <c r="JW27" s="23">
        <v>10</v>
      </c>
      <c r="JX27" s="23">
        <v>-6</v>
      </c>
      <c r="JY27" s="23">
        <v>39</v>
      </c>
      <c r="JZ27" s="23">
        <v>85</v>
      </c>
      <c r="KA27" s="23">
        <v>46</v>
      </c>
      <c r="KB27" s="23">
        <v>-89</v>
      </c>
      <c r="KC27" s="23">
        <v>-19</v>
      </c>
      <c r="KD27" s="23">
        <v>-167</v>
      </c>
      <c r="KE27" s="23">
        <v>-151</v>
      </c>
      <c r="KF27" s="23">
        <v>-170</v>
      </c>
      <c r="KG27" s="23">
        <v>-50</v>
      </c>
      <c r="KH27" s="23">
        <v>-48</v>
      </c>
      <c r="KI27" s="23">
        <v>-8</v>
      </c>
      <c r="KJ27" s="23">
        <v>25</v>
      </c>
      <c r="KK27" s="23">
        <v>97</v>
      </c>
      <c r="KL27" s="23">
        <v>59</v>
      </c>
      <c r="KM27" s="23">
        <v>134</v>
      </c>
      <c r="KN27" s="23">
        <v>36</v>
      </c>
      <c r="KO27" s="23">
        <v>0</v>
      </c>
    </row>
    <row r="28" spans="1:301">
      <c r="A28" s="22">
        <v>18</v>
      </c>
      <c r="B28" s="23">
        <v>-99999</v>
      </c>
      <c r="C28" s="23">
        <v>-99999</v>
      </c>
      <c r="D28" s="23">
        <v>-99999</v>
      </c>
      <c r="E28" s="23">
        <v>-99999</v>
      </c>
      <c r="F28" s="23">
        <v>-99999</v>
      </c>
      <c r="G28" s="23">
        <v>-99999</v>
      </c>
      <c r="H28" s="23">
        <v>-99999</v>
      </c>
      <c r="I28" s="23">
        <v>-99999</v>
      </c>
      <c r="J28" s="23">
        <v>-99999</v>
      </c>
      <c r="K28" s="23">
        <v>-99999</v>
      </c>
      <c r="L28" s="23">
        <v>-99999</v>
      </c>
      <c r="M28" s="23">
        <v>-99999</v>
      </c>
      <c r="N28" s="23">
        <v>-99999</v>
      </c>
      <c r="O28" s="23">
        <v>-99999</v>
      </c>
      <c r="P28" s="23">
        <v>-99999</v>
      </c>
      <c r="Q28" s="23">
        <v>-99999</v>
      </c>
      <c r="R28" s="23">
        <v>-99999</v>
      </c>
      <c r="S28" s="23">
        <v>-99999</v>
      </c>
      <c r="T28" s="23">
        <v>-99999</v>
      </c>
      <c r="U28" s="23">
        <v>-99999</v>
      </c>
      <c r="V28" s="23">
        <v>-99999</v>
      </c>
      <c r="W28" s="23">
        <v>-99999</v>
      </c>
      <c r="X28" s="23">
        <v>-99999</v>
      </c>
      <c r="Y28" s="23">
        <v>-99999</v>
      </c>
      <c r="Z28" s="23">
        <v>-99999</v>
      </c>
      <c r="AA28" s="23">
        <v>-99999</v>
      </c>
      <c r="AB28" s="23">
        <v>-99999</v>
      </c>
      <c r="AC28" s="23">
        <v>-99999</v>
      </c>
      <c r="AD28" s="23">
        <v>-99999</v>
      </c>
      <c r="AE28" s="23">
        <v>-99999</v>
      </c>
      <c r="AF28" s="23">
        <v>-99999</v>
      </c>
      <c r="AG28" s="23">
        <v>-99999</v>
      </c>
      <c r="AH28" s="23">
        <v>-99999</v>
      </c>
      <c r="AI28" s="23">
        <v>-99999</v>
      </c>
      <c r="AJ28" s="23">
        <v>-99999</v>
      </c>
      <c r="AK28" s="23">
        <v>-99999</v>
      </c>
      <c r="AL28" s="23">
        <v>-99999</v>
      </c>
      <c r="AM28" s="23">
        <v>-99999</v>
      </c>
      <c r="AN28" s="23">
        <v>-99999</v>
      </c>
      <c r="AO28" s="23">
        <v>-99999</v>
      </c>
      <c r="AP28" s="23">
        <v>-99999</v>
      </c>
      <c r="AQ28" s="23">
        <v>-99999</v>
      </c>
      <c r="AR28" s="23">
        <v>-99999</v>
      </c>
      <c r="AS28" s="23">
        <v>-99999</v>
      </c>
      <c r="AT28" s="23">
        <v>-99999</v>
      </c>
      <c r="AU28" s="23">
        <v>-99999</v>
      </c>
      <c r="AV28" s="23">
        <v>-99999</v>
      </c>
      <c r="AW28" s="23">
        <v>-99999</v>
      </c>
      <c r="AX28" s="23">
        <v>-99999</v>
      </c>
      <c r="AY28" s="23">
        <v>-99999</v>
      </c>
      <c r="AZ28" s="23">
        <v>-99999</v>
      </c>
      <c r="BA28" s="23">
        <v>-99999</v>
      </c>
      <c r="BB28" s="23">
        <v>-99999</v>
      </c>
      <c r="BC28" s="23">
        <v>-99999</v>
      </c>
      <c r="BD28" s="23">
        <v>-99999</v>
      </c>
      <c r="BE28" s="23">
        <v>-99999</v>
      </c>
      <c r="BF28" s="23">
        <v>-99999</v>
      </c>
      <c r="BG28" s="23">
        <v>-99999</v>
      </c>
      <c r="BH28" s="23">
        <v>-99999</v>
      </c>
      <c r="BI28" s="23">
        <v>-99999</v>
      </c>
      <c r="BJ28" s="23">
        <v>-271</v>
      </c>
      <c r="BK28" s="23">
        <v>-315</v>
      </c>
      <c r="BL28" s="23">
        <v>-310</v>
      </c>
      <c r="BM28" s="23">
        <v>-246</v>
      </c>
      <c r="BN28" s="23">
        <v>-228</v>
      </c>
      <c r="BO28" s="23">
        <v>-225</v>
      </c>
      <c r="BP28" s="23">
        <v>-171</v>
      </c>
      <c r="BQ28" s="23">
        <v>-120</v>
      </c>
      <c r="BR28" s="23">
        <v>-82</v>
      </c>
      <c r="BS28" s="23">
        <v>-45</v>
      </c>
      <c r="BT28" s="23">
        <v>-128</v>
      </c>
      <c r="BU28" s="23">
        <v>-231</v>
      </c>
      <c r="BV28" s="23">
        <v>-263</v>
      </c>
      <c r="BW28" s="23">
        <v>-277</v>
      </c>
      <c r="BX28" s="23">
        <v>-208</v>
      </c>
      <c r="BY28" s="23">
        <v>-99999</v>
      </c>
      <c r="BZ28" s="23">
        <v>-99999</v>
      </c>
      <c r="CA28" s="23">
        <v>-139</v>
      </c>
      <c r="CB28" s="23">
        <v>-135</v>
      </c>
      <c r="CC28" s="23">
        <v>-121</v>
      </c>
      <c r="CD28" s="23">
        <v>-67</v>
      </c>
      <c r="CE28" s="23">
        <v>-99</v>
      </c>
      <c r="CF28" s="23">
        <v>-189</v>
      </c>
      <c r="CG28" s="23">
        <v>-266</v>
      </c>
      <c r="CH28" s="23">
        <v>-260</v>
      </c>
      <c r="CI28" s="23">
        <v>-168</v>
      </c>
      <c r="CJ28" s="23">
        <v>-211</v>
      </c>
      <c r="CK28" s="23">
        <v>-189</v>
      </c>
      <c r="CL28" s="23">
        <v>-128</v>
      </c>
      <c r="CM28" s="23">
        <v>-168</v>
      </c>
      <c r="CN28" s="23">
        <v>-172</v>
      </c>
      <c r="CO28" s="23">
        <v>-127</v>
      </c>
      <c r="CP28" s="23">
        <v>24</v>
      </c>
      <c r="CQ28" s="23">
        <v>-90</v>
      </c>
      <c r="CR28" s="23">
        <v>-172</v>
      </c>
      <c r="CS28" s="23">
        <v>-216</v>
      </c>
      <c r="CT28" s="23">
        <v>-217</v>
      </c>
      <c r="CU28" s="23">
        <v>-165</v>
      </c>
      <c r="CV28" s="23">
        <v>-185</v>
      </c>
      <c r="CW28" s="23">
        <v>-150</v>
      </c>
      <c r="CX28" s="23">
        <v>-118</v>
      </c>
      <c r="CY28" s="23">
        <v>-150</v>
      </c>
      <c r="CZ28" s="23">
        <v>-99999</v>
      </c>
      <c r="DA28" s="23">
        <v>-58</v>
      </c>
      <c r="DB28" s="23">
        <v>30</v>
      </c>
      <c r="DC28" s="23">
        <v>-66</v>
      </c>
      <c r="DD28" s="23">
        <v>-143</v>
      </c>
      <c r="DE28" s="23">
        <v>-224</v>
      </c>
      <c r="DF28" s="23">
        <v>-276</v>
      </c>
      <c r="DG28" s="23">
        <v>-287</v>
      </c>
      <c r="DH28" s="23">
        <v>-178</v>
      </c>
      <c r="DI28" s="23">
        <v>-99999</v>
      </c>
      <c r="DJ28" s="23">
        <v>-99999</v>
      </c>
      <c r="DK28" s="23">
        <v>-136</v>
      </c>
      <c r="DL28" s="23">
        <v>-99999</v>
      </c>
      <c r="DM28" s="23">
        <v>-99999</v>
      </c>
      <c r="DN28" s="23">
        <v>-41</v>
      </c>
      <c r="DO28" s="23">
        <v>-92</v>
      </c>
      <c r="DP28" s="23">
        <v>-106</v>
      </c>
      <c r="DQ28" s="23">
        <v>-277</v>
      </c>
      <c r="DR28" s="23">
        <v>-372</v>
      </c>
      <c r="DS28" s="23">
        <v>-360</v>
      </c>
      <c r="DT28" s="23">
        <v>-247</v>
      </c>
      <c r="DU28" s="23">
        <v>-99999</v>
      </c>
      <c r="DV28" s="23">
        <v>-183</v>
      </c>
      <c r="DW28" s="23">
        <v>-214</v>
      </c>
      <c r="DX28" s="23">
        <v>-131</v>
      </c>
      <c r="DY28" s="23">
        <v>-105</v>
      </c>
      <c r="DZ28" s="23">
        <v>-72</v>
      </c>
      <c r="EA28" s="23">
        <v>-104</v>
      </c>
      <c r="EB28" s="23">
        <v>-108</v>
      </c>
      <c r="EC28" s="23">
        <v>-180</v>
      </c>
      <c r="ED28" s="23">
        <v>-305</v>
      </c>
      <c r="EE28" s="23">
        <v>-281</v>
      </c>
      <c r="EF28" s="23">
        <v>-260</v>
      </c>
      <c r="EG28" s="23">
        <v>-183</v>
      </c>
      <c r="EH28" s="23">
        <v>-157</v>
      </c>
      <c r="EI28" s="23">
        <v>-101</v>
      </c>
      <c r="EJ28" s="23">
        <v>-129</v>
      </c>
      <c r="EK28" s="23">
        <v>-60</v>
      </c>
      <c r="EL28" s="23">
        <v>34</v>
      </c>
      <c r="EM28" s="23">
        <v>5</v>
      </c>
      <c r="EN28" s="23">
        <v>-161</v>
      </c>
      <c r="EO28" s="23">
        <v>-257</v>
      </c>
      <c r="EP28" s="23">
        <v>-314</v>
      </c>
      <c r="EQ28" s="23">
        <v>-278</v>
      </c>
      <c r="ER28" s="23">
        <v>-170</v>
      </c>
      <c r="ES28" s="23">
        <v>-144</v>
      </c>
      <c r="ET28" s="23">
        <v>-138</v>
      </c>
      <c r="EU28" s="23">
        <v>-123</v>
      </c>
      <c r="EV28" s="23">
        <v>-80</v>
      </c>
      <c r="EW28" s="23">
        <v>-65</v>
      </c>
      <c r="EX28" s="23">
        <v>-3</v>
      </c>
      <c r="EY28" s="23">
        <v>-21</v>
      </c>
      <c r="EZ28" s="23">
        <v>-82</v>
      </c>
      <c r="FA28" s="23">
        <v>-211</v>
      </c>
      <c r="FB28" s="23">
        <v>-232</v>
      </c>
      <c r="FC28" s="23">
        <v>-268</v>
      </c>
      <c r="FD28" s="23">
        <v>-218</v>
      </c>
      <c r="FE28" s="23">
        <v>-188</v>
      </c>
      <c r="FF28" s="23">
        <v>-137</v>
      </c>
      <c r="FG28" s="23">
        <v>-90</v>
      </c>
      <c r="FH28" s="23">
        <v>-108</v>
      </c>
      <c r="FI28" s="23">
        <v>-97</v>
      </c>
      <c r="FJ28" s="23">
        <v>-33</v>
      </c>
      <c r="FK28" s="23">
        <v>-32</v>
      </c>
      <c r="FL28" s="23">
        <v>-63</v>
      </c>
      <c r="FM28" s="23">
        <v>-266</v>
      </c>
      <c r="FN28" s="23">
        <v>-219</v>
      </c>
      <c r="FO28" s="23">
        <v>-151</v>
      </c>
      <c r="FP28" s="23">
        <v>-268</v>
      </c>
      <c r="FQ28" s="23">
        <v>-145</v>
      </c>
      <c r="FR28" s="23">
        <v>-111</v>
      </c>
      <c r="FS28" s="23">
        <v>-72</v>
      </c>
      <c r="FT28" s="23">
        <v>-60</v>
      </c>
      <c r="FU28" s="23">
        <v>-60</v>
      </c>
      <c r="FV28" s="23">
        <v>-3</v>
      </c>
      <c r="FW28" s="23">
        <v>-67</v>
      </c>
      <c r="FX28" s="23">
        <v>-144</v>
      </c>
      <c r="FY28" s="23">
        <v>-241</v>
      </c>
      <c r="FZ28" s="23">
        <v>-266</v>
      </c>
      <c r="GA28" s="23">
        <v>-254</v>
      </c>
      <c r="GB28" s="23">
        <v>-201</v>
      </c>
      <c r="GC28" s="23">
        <v>-182</v>
      </c>
      <c r="GD28" s="23">
        <v>-122</v>
      </c>
      <c r="GE28" s="23">
        <v>-133</v>
      </c>
      <c r="GF28" s="23">
        <v>-158</v>
      </c>
      <c r="GG28" s="23">
        <v>-89</v>
      </c>
      <c r="GH28" s="23">
        <v>-14</v>
      </c>
      <c r="GI28" s="23">
        <v>-54</v>
      </c>
      <c r="GJ28" s="23">
        <v>-154</v>
      </c>
      <c r="GK28" s="23">
        <v>-227</v>
      </c>
      <c r="GL28" s="23">
        <v>-242</v>
      </c>
      <c r="GM28" s="23">
        <v>-284</v>
      </c>
      <c r="GN28" s="23">
        <v>-267</v>
      </c>
      <c r="GO28" s="23">
        <v>-218</v>
      </c>
      <c r="GP28" s="23">
        <v>-99</v>
      </c>
      <c r="GQ28" s="23">
        <v>-93</v>
      </c>
      <c r="GR28" s="23">
        <v>-105</v>
      </c>
      <c r="GS28" s="23">
        <v>-60</v>
      </c>
      <c r="GT28" s="23">
        <v>-55</v>
      </c>
      <c r="GU28" s="23">
        <v>-36</v>
      </c>
      <c r="GV28" s="23">
        <v>-153</v>
      </c>
      <c r="GW28" s="23">
        <v>-213</v>
      </c>
      <c r="GX28" s="23">
        <v>-294</v>
      </c>
      <c r="GY28" s="23">
        <v>-290</v>
      </c>
      <c r="GZ28" s="23">
        <v>-277</v>
      </c>
      <c r="HA28" s="23">
        <v>-151</v>
      </c>
      <c r="HB28" s="23">
        <v>-99999</v>
      </c>
      <c r="HC28" s="23">
        <v>-99999</v>
      </c>
      <c r="HD28" s="23">
        <v>-52</v>
      </c>
      <c r="HE28" s="23">
        <v>-23</v>
      </c>
      <c r="HF28" s="23">
        <v>85</v>
      </c>
      <c r="HG28" s="23">
        <v>-22</v>
      </c>
      <c r="HH28" s="23">
        <v>-109</v>
      </c>
      <c r="HI28" s="23">
        <v>-222</v>
      </c>
      <c r="HJ28" s="23">
        <v>-307</v>
      </c>
      <c r="HK28" s="23">
        <v>-295</v>
      </c>
      <c r="HL28" s="23">
        <v>-168</v>
      </c>
      <c r="HM28" s="23">
        <v>-160</v>
      </c>
      <c r="HN28" s="23">
        <v>-122</v>
      </c>
      <c r="HO28" s="23">
        <v>-40</v>
      </c>
      <c r="HP28" s="23">
        <v>-32</v>
      </c>
      <c r="HQ28" s="23">
        <v>-19</v>
      </c>
      <c r="HR28" s="23">
        <v>87</v>
      </c>
      <c r="HS28" s="23">
        <v>-99999</v>
      </c>
      <c r="HT28" s="23">
        <v>-29</v>
      </c>
      <c r="HU28" s="23">
        <v>-117</v>
      </c>
      <c r="HV28" s="23">
        <v>-222</v>
      </c>
      <c r="HW28" s="23">
        <v>-213</v>
      </c>
      <c r="HX28" s="23">
        <v>-99999</v>
      </c>
      <c r="HY28" s="23">
        <v>-183</v>
      </c>
      <c r="HZ28" s="23">
        <v>-115</v>
      </c>
      <c r="IA28" s="23">
        <v>-64</v>
      </c>
      <c r="IB28" s="23">
        <v>-99999</v>
      </c>
      <c r="IC28" s="23">
        <v>2</v>
      </c>
      <c r="ID28" s="23">
        <v>53</v>
      </c>
      <c r="IE28" s="23">
        <v>-54</v>
      </c>
      <c r="IF28" s="23">
        <v>-99</v>
      </c>
      <c r="IG28" s="23">
        <v>-259</v>
      </c>
      <c r="IH28" s="23">
        <v>-283</v>
      </c>
      <c r="II28" s="23">
        <v>-288</v>
      </c>
      <c r="IJ28" s="23">
        <v>-176</v>
      </c>
      <c r="IK28" s="23">
        <v>-154</v>
      </c>
      <c r="IL28" s="23">
        <v>-118</v>
      </c>
      <c r="IM28" s="23">
        <v>-81</v>
      </c>
      <c r="IN28" s="23">
        <v>-21</v>
      </c>
      <c r="IO28" s="23">
        <v>-7</v>
      </c>
      <c r="IP28" s="23">
        <v>-13</v>
      </c>
      <c r="IQ28" s="23">
        <v>-73</v>
      </c>
      <c r="IR28" s="23">
        <v>-87</v>
      </c>
      <c r="IS28" s="23">
        <v>-156</v>
      </c>
      <c r="IT28" s="23">
        <v>-226</v>
      </c>
      <c r="IU28" s="23">
        <v>-175</v>
      </c>
      <c r="IV28" s="23">
        <v>-127</v>
      </c>
      <c r="IW28" s="23">
        <v>-75</v>
      </c>
      <c r="IX28" s="23">
        <v>-40</v>
      </c>
      <c r="IY28" s="23">
        <v>68</v>
      </c>
      <c r="IZ28" s="23">
        <v>-3</v>
      </c>
      <c r="JA28" s="23">
        <v>-99999</v>
      </c>
      <c r="JB28" s="23">
        <v>8</v>
      </c>
      <c r="JC28" s="23">
        <v>-9</v>
      </c>
      <c r="JD28" s="23">
        <v>-17</v>
      </c>
      <c r="JE28" s="23">
        <v>-102</v>
      </c>
      <c r="JF28" s="23">
        <v>-165</v>
      </c>
      <c r="JG28" s="23">
        <v>-165</v>
      </c>
      <c r="JH28" s="23">
        <v>-171</v>
      </c>
      <c r="JI28" s="23">
        <v>-146</v>
      </c>
      <c r="JJ28" s="23">
        <v>-124</v>
      </c>
      <c r="JK28" s="23">
        <v>-75</v>
      </c>
      <c r="JL28" s="23">
        <v>-9</v>
      </c>
      <c r="JM28" s="23">
        <v>-11</v>
      </c>
      <c r="JN28" s="23">
        <v>37</v>
      </c>
      <c r="JO28" s="23">
        <v>33</v>
      </c>
      <c r="JP28" s="23">
        <v>-99999</v>
      </c>
      <c r="JQ28" s="23">
        <v>-119</v>
      </c>
      <c r="JR28" s="23">
        <v>-207</v>
      </c>
      <c r="JS28" s="23">
        <v>-152</v>
      </c>
      <c r="JT28" s="23">
        <v>-147</v>
      </c>
      <c r="JU28" s="23">
        <v>-87</v>
      </c>
      <c r="JV28" s="23">
        <v>-63</v>
      </c>
      <c r="JW28" s="23">
        <v>-99999</v>
      </c>
      <c r="JX28" s="23">
        <v>-99999</v>
      </c>
      <c r="JY28" s="23">
        <v>-7</v>
      </c>
      <c r="JZ28" s="23">
        <v>42</v>
      </c>
      <c r="KA28" s="23">
        <v>25</v>
      </c>
      <c r="KB28" s="23">
        <v>-62</v>
      </c>
      <c r="KC28" s="23">
        <v>-33</v>
      </c>
      <c r="KD28" s="23">
        <v>-160</v>
      </c>
      <c r="KE28" s="23">
        <v>-91</v>
      </c>
      <c r="KF28" s="23">
        <v>-158</v>
      </c>
      <c r="KG28" s="23">
        <v>-99999</v>
      </c>
      <c r="KH28" s="23">
        <v>-72</v>
      </c>
      <c r="KI28" s="23">
        <v>-65</v>
      </c>
      <c r="KJ28" s="23">
        <v>-24</v>
      </c>
      <c r="KK28" s="23">
        <v>41</v>
      </c>
      <c r="KL28" s="23">
        <v>56</v>
      </c>
      <c r="KM28" s="23">
        <v>148</v>
      </c>
      <c r="KN28" s="23">
        <v>34</v>
      </c>
      <c r="KO28" s="23">
        <v>0</v>
      </c>
    </row>
    <row r="29" spans="1:301">
      <c r="A29" s="22">
        <v>19</v>
      </c>
      <c r="B29" s="23">
        <v>-165</v>
      </c>
      <c r="C29" s="23">
        <v>-266</v>
      </c>
      <c r="D29" s="23">
        <v>-187</v>
      </c>
      <c r="E29" s="23">
        <v>-138</v>
      </c>
      <c r="F29" s="23">
        <v>-65</v>
      </c>
      <c r="G29" s="23">
        <v>-114</v>
      </c>
      <c r="H29" s="23">
        <v>-74</v>
      </c>
      <c r="I29" s="23">
        <v>-77</v>
      </c>
      <c r="J29" s="23">
        <v>-37</v>
      </c>
      <c r="K29" s="23">
        <v>-71</v>
      </c>
      <c r="L29" s="23">
        <v>-150</v>
      </c>
      <c r="M29" s="23">
        <v>-260</v>
      </c>
      <c r="N29" s="23">
        <v>-226</v>
      </c>
      <c r="O29" s="23">
        <v>-202</v>
      </c>
      <c r="P29" s="23">
        <v>-275</v>
      </c>
      <c r="Q29" s="23">
        <v>-217</v>
      </c>
      <c r="R29" s="23">
        <v>-187</v>
      </c>
      <c r="S29" s="23">
        <v>-53</v>
      </c>
      <c r="T29" s="23">
        <v>-129</v>
      </c>
      <c r="U29" s="23">
        <v>-107</v>
      </c>
      <c r="V29" s="23">
        <v>-77</v>
      </c>
      <c r="W29" s="23">
        <v>-16</v>
      </c>
      <c r="X29" s="23">
        <v>-153</v>
      </c>
      <c r="Y29" s="23">
        <v>-205</v>
      </c>
      <c r="Z29" s="23">
        <v>-193</v>
      </c>
      <c r="AA29" s="23">
        <v>-187</v>
      </c>
      <c r="AB29" s="23">
        <v>-251</v>
      </c>
      <c r="AC29" s="23">
        <v>-196</v>
      </c>
      <c r="AD29" s="23">
        <v>-138</v>
      </c>
      <c r="AE29" s="23">
        <v>-147</v>
      </c>
      <c r="AF29" s="23">
        <v>-141</v>
      </c>
      <c r="AG29" s="23">
        <v>-114</v>
      </c>
      <c r="AH29" s="23">
        <v>-68</v>
      </c>
      <c r="AI29" s="23">
        <v>-16</v>
      </c>
      <c r="AJ29" s="23">
        <v>-184</v>
      </c>
      <c r="AK29" s="23">
        <v>-196</v>
      </c>
      <c r="AL29" s="23">
        <v>-299</v>
      </c>
      <c r="AM29" s="23">
        <v>-254</v>
      </c>
      <c r="AN29" s="23">
        <v>-193</v>
      </c>
      <c r="AO29" s="23">
        <v>-178</v>
      </c>
      <c r="AP29" s="23">
        <v>-165</v>
      </c>
      <c r="AQ29" s="23">
        <v>-141</v>
      </c>
      <c r="AR29" s="23">
        <v>-114</v>
      </c>
      <c r="AS29" s="23">
        <v>-74</v>
      </c>
      <c r="AT29" s="23">
        <v>-46</v>
      </c>
      <c r="AU29" s="23">
        <v>-31</v>
      </c>
      <c r="AV29" s="23">
        <v>-132</v>
      </c>
      <c r="AW29" s="23">
        <v>-162</v>
      </c>
      <c r="AX29" s="23">
        <v>-239</v>
      </c>
      <c r="AY29" s="23">
        <v>-339</v>
      </c>
      <c r="AZ29" s="23">
        <v>-217</v>
      </c>
      <c r="BA29" s="23">
        <v>-129</v>
      </c>
      <c r="BB29" s="23">
        <v>-80</v>
      </c>
      <c r="BC29" s="23">
        <v>-117</v>
      </c>
      <c r="BD29" s="23">
        <v>-86</v>
      </c>
      <c r="BE29" s="23">
        <v>48</v>
      </c>
      <c r="BF29" s="23">
        <v>63</v>
      </c>
      <c r="BG29" s="23">
        <v>39</v>
      </c>
      <c r="BH29" s="23">
        <v>-147</v>
      </c>
      <c r="BI29" s="23">
        <v>-196</v>
      </c>
      <c r="BJ29" s="23">
        <v>-230</v>
      </c>
      <c r="BK29" s="23">
        <v>-287</v>
      </c>
      <c r="BL29" s="23">
        <v>-282</v>
      </c>
      <c r="BM29" s="23">
        <v>-211</v>
      </c>
      <c r="BN29" s="23">
        <v>-192</v>
      </c>
      <c r="BO29" s="23">
        <v>-188</v>
      </c>
      <c r="BP29" s="23">
        <v>-135</v>
      </c>
      <c r="BQ29" s="23">
        <v>-95</v>
      </c>
      <c r="BR29" s="23">
        <v>-59</v>
      </c>
      <c r="BS29" s="23">
        <v>-34</v>
      </c>
      <c r="BT29" s="23">
        <v>-127</v>
      </c>
      <c r="BU29" s="23">
        <v>-209</v>
      </c>
      <c r="BV29" s="23">
        <v>-241</v>
      </c>
      <c r="BW29" s="23">
        <v>-248</v>
      </c>
      <c r="BX29" s="23">
        <v>-180</v>
      </c>
      <c r="BY29" s="23">
        <v>-144</v>
      </c>
      <c r="BZ29" s="23">
        <v>-148</v>
      </c>
      <c r="CA29" s="23">
        <v>-101</v>
      </c>
      <c r="CB29" s="23">
        <v>-94</v>
      </c>
      <c r="CC29" s="23">
        <v>-80</v>
      </c>
      <c r="CD29" s="23">
        <v>-22</v>
      </c>
      <c r="CE29" s="23">
        <v>-62</v>
      </c>
      <c r="CF29" s="23">
        <v>-142</v>
      </c>
      <c r="CG29" s="23">
        <v>-202</v>
      </c>
      <c r="CH29" s="23">
        <v>-207</v>
      </c>
      <c r="CI29" s="23">
        <v>-124</v>
      </c>
      <c r="CJ29" s="23">
        <v>-192</v>
      </c>
      <c r="CK29" s="23">
        <v>-157</v>
      </c>
      <c r="CL29" s="23">
        <v>-102</v>
      </c>
      <c r="CM29" s="23">
        <v>-140</v>
      </c>
      <c r="CN29" s="23">
        <v>-142</v>
      </c>
      <c r="CO29" s="23">
        <v>-112</v>
      </c>
      <c r="CP29" s="23">
        <v>36</v>
      </c>
      <c r="CQ29" s="23">
        <v>-96</v>
      </c>
      <c r="CR29" s="23">
        <v>-163</v>
      </c>
      <c r="CS29" s="23">
        <v>-200</v>
      </c>
      <c r="CT29" s="23">
        <v>-195</v>
      </c>
      <c r="CU29" s="23">
        <v>-147</v>
      </c>
      <c r="CV29" s="23">
        <v>-167</v>
      </c>
      <c r="CW29" s="23">
        <v>-130</v>
      </c>
      <c r="CX29" s="23">
        <v>-101</v>
      </c>
      <c r="CY29" s="23">
        <v>-132</v>
      </c>
      <c r="CZ29" s="23">
        <v>-92</v>
      </c>
      <c r="DA29" s="23">
        <v>-37</v>
      </c>
      <c r="DB29" s="23">
        <v>43</v>
      </c>
      <c r="DC29" s="23">
        <v>-64</v>
      </c>
      <c r="DD29" s="23">
        <v>-140</v>
      </c>
      <c r="DE29" s="23">
        <v>-209</v>
      </c>
      <c r="DF29" s="23">
        <v>-261</v>
      </c>
      <c r="DG29" s="23">
        <v>-269</v>
      </c>
      <c r="DH29" s="23">
        <v>-162</v>
      </c>
      <c r="DI29" s="23">
        <v>-142</v>
      </c>
      <c r="DJ29" s="23">
        <v>-130</v>
      </c>
      <c r="DK29" s="23">
        <v>-101</v>
      </c>
      <c r="DL29" s="23">
        <v>-47</v>
      </c>
      <c r="DM29" s="23">
        <v>-66</v>
      </c>
      <c r="DN29" s="23">
        <v>-21</v>
      </c>
      <c r="DO29" s="23">
        <v>-87</v>
      </c>
      <c r="DP29" s="23">
        <v>-90</v>
      </c>
      <c r="DQ29" s="23">
        <v>-251</v>
      </c>
      <c r="DR29" s="23">
        <v>-353</v>
      </c>
      <c r="DS29" s="23">
        <v>-329</v>
      </c>
      <c r="DT29" s="23">
        <v>-222</v>
      </c>
      <c r="DU29" s="23">
        <v>-228</v>
      </c>
      <c r="DV29" s="23">
        <v>-165</v>
      </c>
      <c r="DW29" s="23">
        <v>-190</v>
      </c>
      <c r="DX29" s="23">
        <v>-98</v>
      </c>
      <c r="DY29" s="23">
        <v>-82</v>
      </c>
      <c r="DZ29" s="23">
        <v>-49</v>
      </c>
      <c r="EA29" s="23">
        <v>-97</v>
      </c>
      <c r="EB29" s="23">
        <v>-96</v>
      </c>
      <c r="EC29" s="23">
        <v>-154</v>
      </c>
      <c r="ED29" s="23">
        <v>-274</v>
      </c>
      <c r="EE29" s="23">
        <v>-270</v>
      </c>
      <c r="EF29" s="23">
        <v>-253</v>
      </c>
      <c r="EG29" s="23">
        <v>-162</v>
      </c>
      <c r="EH29" s="23">
        <v>-140</v>
      </c>
      <c r="EI29" s="23">
        <v>-75</v>
      </c>
      <c r="EJ29" s="23">
        <v>-101</v>
      </c>
      <c r="EK29" s="23">
        <v>-48</v>
      </c>
      <c r="EL29" s="23">
        <v>50</v>
      </c>
      <c r="EM29" s="23">
        <v>19</v>
      </c>
      <c r="EN29" s="23">
        <v>-148</v>
      </c>
      <c r="EO29" s="23">
        <v>-225</v>
      </c>
      <c r="EP29" s="23">
        <v>-278</v>
      </c>
      <c r="EQ29" s="23">
        <v>-254</v>
      </c>
      <c r="ER29" s="23">
        <v>-141</v>
      </c>
      <c r="ES29" s="23">
        <v>-117</v>
      </c>
      <c r="ET29" s="23">
        <v>-102</v>
      </c>
      <c r="EU29" s="23">
        <v>-77</v>
      </c>
      <c r="EV29" s="23">
        <v>-41</v>
      </c>
      <c r="EW29" s="23">
        <v>-29</v>
      </c>
      <c r="EX29" s="23">
        <v>29</v>
      </c>
      <c r="EY29" s="23">
        <v>-4</v>
      </c>
      <c r="EZ29" s="23">
        <v>-63</v>
      </c>
      <c r="FA29" s="23">
        <v>-183</v>
      </c>
      <c r="FB29" s="23">
        <v>-194</v>
      </c>
      <c r="FC29" s="23">
        <v>-229</v>
      </c>
      <c r="FD29" s="23">
        <v>-198</v>
      </c>
      <c r="FE29" s="23">
        <v>-175</v>
      </c>
      <c r="FF29" s="23">
        <v>-122</v>
      </c>
      <c r="FG29" s="23">
        <v>-67</v>
      </c>
      <c r="FH29" s="23">
        <v>-79</v>
      </c>
      <c r="FI29" s="23">
        <v>-65</v>
      </c>
      <c r="FJ29" s="23">
        <v>-17</v>
      </c>
      <c r="FK29" s="23">
        <v>-18</v>
      </c>
      <c r="FL29" s="23">
        <v>-47</v>
      </c>
      <c r="FM29" s="23">
        <v>-251</v>
      </c>
      <c r="FN29" s="23">
        <v>-200</v>
      </c>
      <c r="FO29" s="23">
        <v>-119</v>
      </c>
      <c r="FP29" s="23">
        <v>-195</v>
      </c>
      <c r="FQ29" s="23">
        <v>-131</v>
      </c>
      <c r="FR29" s="23">
        <v>-86</v>
      </c>
      <c r="FS29" s="23">
        <v>-44</v>
      </c>
      <c r="FT29" s="23">
        <v>-29</v>
      </c>
      <c r="FU29" s="23">
        <v>-33</v>
      </c>
      <c r="FV29" s="23">
        <v>9</v>
      </c>
      <c r="FW29" s="23">
        <v>-58</v>
      </c>
      <c r="FX29" s="23">
        <v>-119</v>
      </c>
      <c r="FY29" s="23">
        <v>-212</v>
      </c>
      <c r="FZ29" s="23">
        <v>-234</v>
      </c>
      <c r="GA29" s="23">
        <v>-237</v>
      </c>
      <c r="GB29" s="23">
        <v>-179</v>
      </c>
      <c r="GC29" s="23">
        <v>-158</v>
      </c>
      <c r="GD29" s="23">
        <v>-90</v>
      </c>
      <c r="GE29" s="23">
        <v>-95</v>
      </c>
      <c r="GF29" s="23">
        <v>-122</v>
      </c>
      <c r="GG29" s="23">
        <v>-58</v>
      </c>
      <c r="GH29" s="23">
        <v>20</v>
      </c>
      <c r="GI29" s="23">
        <v>-29</v>
      </c>
      <c r="GJ29" s="23">
        <v>-130</v>
      </c>
      <c r="GK29" s="23">
        <v>-195</v>
      </c>
      <c r="GL29" s="23">
        <v>-216</v>
      </c>
      <c r="GM29" s="23">
        <v>-250</v>
      </c>
      <c r="GN29" s="23">
        <v>-225</v>
      </c>
      <c r="GO29" s="23">
        <v>-187</v>
      </c>
      <c r="GP29" s="23">
        <v>-63</v>
      </c>
      <c r="GQ29" s="23">
        <v>-45</v>
      </c>
      <c r="GR29" s="23">
        <v>-54</v>
      </c>
      <c r="GS29" s="23">
        <v>-19</v>
      </c>
      <c r="GT29" s="23">
        <v>-20</v>
      </c>
      <c r="GU29" s="23">
        <v>-4</v>
      </c>
      <c r="GV29" s="23">
        <v>-114</v>
      </c>
      <c r="GW29" s="23">
        <v>-158</v>
      </c>
      <c r="GX29" s="23">
        <v>-257</v>
      </c>
      <c r="GY29" s="23">
        <v>-240</v>
      </c>
      <c r="GZ29" s="23">
        <v>-242</v>
      </c>
      <c r="HA29" s="23">
        <v>-144</v>
      </c>
      <c r="HB29" s="23">
        <v>-81</v>
      </c>
      <c r="HC29" s="23">
        <v>-100</v>
      </c>
      <c r="HD29" s="23">
        <v>-28</v>
      </c>
      <c r="HE29" s="23">
        <v>-10</v>
      </c>
      <c r="HF29" s="23">
        <v>86</v>
      </c>
      <c r="HG29" s="23">
        <v>-27</v>
      </c>
      <c r="HH29" s="23">
        <v>-107</v>
      </c>
      <c r="HI29" s="23">
        <v>-205</v>
      </c>
      <c r="HJ29" s="23">
        <v>-295</v>
      </c>
      <c r="HK29" s="23">
        <v>-290</v>
      </c>
      <c r="HL29" s="23">
        <v>-159</v>
      </c>
      <c r="HM29" s="23">
        <v>-146</v>
      </c>
      <c r="HN29" s="23">
        <v>-107</v>
      </c>
      <c r="HO29" s="23">
        <v>-22</v>
      </c>
      <c r="HP29" s="23">
        <v>-11</v>
      </c>
      <c r="HQ29" s="23">
        <v>-7</v>
      </c>
      <c r="HR29" s="23">
        <v>97</v>
      </c>
      <c r="HS29" s="23">
        <v>27</v>
      </c>
      <c r="HT29" s="23">
        <v>-19</v>
      </c>
      <c r="HU29" s="23">
        <v>-99999</v>
      </c>
      <c r="HV29" s="23">
        <v>-202</v>
      </c>
      <c r="HW29" s="23">
        <v>-202</v>
      </c>
      <c r="HX29" s="23">
        <v>-177</v>
      </c>
      <c r="HY29" s="23">
        <v>-168</v>
      </c>
      <c r="HZ29" s="23">
        <v>-98</v>
      </c>
      <c r="IA29" s="23">
        <v>-44</v>
      </c>
      <c r="IB29" s="23">
        <v>-34</v>
      </c>
      <c r="IC29" s="23">
        <v>18</v>
      </c>
      <c r="ID29" s="23">
        <v>65</v>
      </c>
      <c r="IE29" s="23">
        <v>-44</v>
      </c>
      <c r="IF29" s="23">
        <v>-88</v>
      </c>
      <c r="IG29" s="23">
        <v>-245</v>
      </c>
      <c r="IH29" s="23">
        <v>-255</v>
      </c>
      <c r="II29" s="23">
        <v>-264</v>
      </c>
      <c r="IJ29" s="23">
        <v>-170</v>
      </c>
      <c r="IK29" s="23">
        <v>-140</v>
      </c>
      <c r="IL29" s="23">
        <v>-112</v>
      </c>
      <c r="IM29" s="23">
        <v>-71</v>
      </c>
      <c r="IN29" s="23">
        <v>-8</v>
      </c>
      <c r="IO29" s="23">
        <v>8</v>
      </c>
      <c r="IP29" s="23">
        <v>4</v>
      </c>
      <c r="IQ29" s="23">
        <v>-70</v>
      </c>
      <c r="IR29" s="23">
        <v>-75</v>
      </c>
      <c r="IS29" s="23">
        <v>-141</v>
      </c>
      <c r="IT29" s="23">
        <v>-208</v>
      </c>
      <c r="IU29" s="23">
        <v>-159</v>
      </c>
      <c r="IV29" s="23">
        <v>-110</v>
      </c>
      <c r="IW29" s="23">
        <v>-61</v>
      </c>
      <c r="IX29" s="23">
        <v>-24</v>
      </c>
      <c r="IY29" s="23">
        <v>95</v>
      </c>
      <c r="IZ29" s="23">
        <v>17</v>
      </c>
      <c r="JA29" s="23">
        <v>62</v>
      </c>
      <c r="JB29" s="23">
        <v>17</v>
      </c>
      <c r="JC29" s="23">
        <v>-2</v>
      </c>
      <c r="JD29" s="23">
        <v>-1</v>
      </c>
      <c r="JE29" s="23">
        <v>-74</v>
      </c>
      <c r="JF29" s="23">
        <v>-141</v>
      </c>
      <c r="JG29" s="23">
        <v>-147</v>
      </c>
      <c r="JH29" s="23">
        <v>-168</v>
      </c>
      <c r="JI29" s="23">
        <v>-134</v>
      </c>
      <c r="JJ29" s="23">
        <v>-113</v>
      </c>
      <c r="JK29" s="23">
        <v>-57</v>
      </c>
      <c r="JL29" s="23">
        <v>9</v>
      </c>
      <c r="JM29" s="23">
        <v>3</v>
      </c>
      <c r="JN29" s="23">
        <v>44</v>
      </c>
      <c r="JO29" s="23">
        <v>38</v>
      </c>
      <c r="JP29" s="23">
        <v>-53</v>
      </c>
      <c r="JQ29" s="23">
        <v>-98</v>
      </c>
      <c r="JR29" s="23">
        <v>-193</v>
      </c>
      <c r="JS29" s="23">
        <v>-124</v>
      </c>
      <c r="JT29" s="23">
        <v>-129</v>
      </c>
      <c r="JU29" s="23">
        <v>-73</v>
      </c>
      <c r="JV29" s="23">
        <v>-50</v>
      </c>
      <c r="JW29" s="23">
        <v>-34</v>
      </c>
      <c r="JX29" s="23">
        <v>-45</v>
      </c>
      <c r="JY29" s="23">
        <v>3</v>
      </c>
      <c r="JZ29" s="23">
        <v>45</v>
      </c>
      <c r="KA29" s="23">
        <v>29</v>
      </c>
      <c r="KB29" s="23">
        <v>-57</v>
      </c>
      <c r="KC29" s="23">
        <v>-20</v>
      </c>
      <c r="KD29" s="23">
        <v>-144</v>
      </c>
      <c r="KE29" s="23">
        <v>-150</v>
      </c>
      <c r="KF29" s="23">
        <v>-166</v>
      </c>
      <c r="KG29" s="23">
        <v>-82</v>
      </c>
      <c r="KH29" s="23">
        <v>-77</v>
      </c>
      <c r="KI29" s="23">
        <v>-61</v>
      </c>
      <c r="KJ29" s="23">
        <v>-9</v>
      </c>
      <c r="KK29" s="23">
        <v>52</v>
      </c>
      <c r="KL29" s="23">
        <v>60</v>
      </c>
      <c r="KM29" s="23">
        <v>143</v>
      </c>
      <c r="KN29" s="23">
        <v>29</v>
      </c>
      <c r="KO29" s="23">
        <v>0</v>
      </c>
    </row>
    <row r="30" spans="1:301">
      <c r="A30" s="22">
        <v>20</v>
      </c>
      <c r="B30" s="23">
        <v>-183</v>
      </c>
      <c r="C30" s="23">
        <v>-280</v>
      </c>
      <c r="D30" s="23">
        <v>-192</v>
      </c>
      <c r="E30" s="23">
        <v>-143</v>
      </c>
      <c r="F30" s="23">
        <v>-88</v>
      </c>
      <c r="G30" s="23">
        <v>-100</v>
      </c>
      <c r="H30" s="23">
        <v>-58</v>
      </c>
      <c r="I30" s="23">
        <v>-64</v>
      </c>
      <c r="J30" s="23">
        <v>-21</v>
      </c>
      <c r="K30" s="23">
        <v>-52</v>
      </c>
      <c r="L30" s="23">
        <v>-146</v>
      </c>
      <c r="M30" s="23">
        <v>-265</v>
      </c>
      <c r="N30" s="23">
        <v>-219</v>
      </c>
      <c r="O30" s="23">
        <v>-192</v>
      </c>
      <c r="P30" s="23">
        <v>-277</v>
      </c>
      <c r="Q30" s="23">
        <v>-232</v>
      </c>
      <c r="R30" s="23">
        <v>-186</v>
      </c>
      <c r="S30" s="23">
        <v>-9</v>
      </c>
      <c r="T30" s="23">
        <v>-100</v>
      </c>
      <c r="U30" s="23">
        <v>-94</v>
      </c>
      <c r="V30" s="23">
        <v>-70</v>
      </c>
      <c r="W30" s="23">
        <v>-33</v>
      </c>
      <c r="X30" s="23">
        <v>-183</v>
      </c>
      <c r="Y30" s="23">
        <v>-228</v>
      </c>
      <c r="Z30" s="23">
        <v>-189</v>
      </c>
      <c r="AA30" s="23">
        <v>-168</v>
      </c>
      <c r="AB30" s="23">
        <v>-241</v>
      </c>
      <c r="AC30" s="23">
        <v>-177</v>
      </c>
      <c r="AD30" s="23">
        <v>-171</v>
      </c>
      <c r="AE30" s="23">
        <v>-174</v>
      </c>
      <c r="AF30" s="23">
        <v>-149</v>
      </c>
      <c r="AG30" s="23">
        <v>-116</v>
      </c>
      <c r="AH30" s="23">
        <v>-73</v>
      </c>
      <c r="AI30" s="23">
        <v>0</v>
      </c>
      <c r="AJ30" s="23">
        <v>-180</v>
      </c>
      <c r="AK30" s="23">
        <v>-195</v>
      </c>
      <c r="AL30" s="23">
        <v>-305</v>
      </c>
      <c r="AM30" s="23">
        <v>-241</v>
      </c>
      <c r="AN30" s="23">
        <v>-186</v>
      </c>
      <c r="AO30" s="23">
        <v>-195</v>
      </c>
      <c r="AP30" s="23">
        <v>-168</v>
      </c>
      <c r="AQ30" s="23">
        <v>-143</v>
      </c>
      <c r="AR30" s="23">
        <v>-134</v>
      </c>
      <c r="AS30" s="23">
        <v>-91</v>
      </c>
      <c r="AT30" s="23">
        <v>-24</v>
      </c>
      <c r="AU30" s="23">
        <v>-3</v>
      </c>
      <c r="AV30" s="23">
        <v>-110</v>
      </c>
      <c r="AW30" s="23">
        <v>-99999</v>
      </c>
      <c r="AX30" s="23">
        <v>-99999</v>
      </c>
      <c r="AY30" s="23">
        <v>-289</v>
      </c>
      <c r="AZ30" s="23">
        <v>-99999</v>
      </c>
      <c r="BA30" s="23">
        <v>-99999</v>
      </c>
      <c r="BB30" s="23">
        <v>-76</v>
      </c>
      <c r="BC30" s="23">
        <v>-82</v>
      </c>
      <c r="BD30" s="23">
        <v>-52</v>
      </c>
      <c r="BE30" s="23">
        <v>131</v>
      </c>
      <c r="BF30" s="23">
        <v>146</v>
      </c>
      <c r="BG30" s="23">
        <v>122</v>
      </c>
      <c r="BH30" s="23">
        <v>-107</v>
      </c>
      <c r="BI30" s="23">
        <v>-99999</v>
      </c>
      <c r="BJ30" s="23">
        <v>-99999</v>
      </c>
      <c r="BK30" s="23">
        <v>-99999</v>
      </c>
      <c r="BL30" s="23">
        <v>-99999</v>
      </c>
      <c r="BM30" s="23">
        <v>-99999</v>
      </c>
      <c r="BN30" s="23">
        <v>-99999</v>
      </c>
      <c r="BO30" s="23">
        <v>-99999</v>
      </c>
      <c r="BP30" s="23">
        <v>-99999</v>
      </c>
      <c r="BQ30" s="23">
        <v>-99999</v>
      </c>
      <c r="BR30" s="23">
        <v>-99999</v>
      </c>
      <c r="BS30" s="23">
        <v>-99999</v>
      </c>
      <c r="BT30" s="23">
        <v>-99999</v>
      </c>
      <c r="BU30" s="23">
        <v>-99999</v>
      </c>
      <c r="BV30" s="23">
        <v>-260</v>
      </c>
      <c r="BW30" s="23">
        <v>-246</v>
      </c>
      <c r="BX30" s="23">
        <v>-186</v>
      </c>
      <c r="BY30" s="23">
        <v>-141</v>
      </c>
      <c r="BZ30" s="23">
        <v>-99999</v>
      </c>
      <c r="CA30" s="23">
        <v>-99999</v>
      </c>
      <c r="CB30" s="23">
        <v>-99999</v>
      </c>
      <c r="CC30" s="23">
        <v>-99999</v>
      </c>
      <c r="CD30" s="23">
        <v>-99999</v>
      </c>
      <c r="CE30" s="23">
        <v>-99999</v>
      </c>
      <c r="CF30" s="23">
        <v>-99999</v>
      </c>
      <c r="CG30" s="23">
        <v>-191</v>
      </c>
      <c r="CH30" s="23">
        <v>-187</v>
      </c>
      <c r="CI30" s="23">
        <v>-55</v>
      </c>
      <c r="CJ30" s="23">
        <v>-113</v>
      </c>
      <c r="CK30" s="23">
        <v>-114</v>
      </c>
      <c r="CL30" s="23">
        <v>-98</v>
      </c>
      <c r="CM30" s="23">
        <v>-125</v>
      </c>
      <c r="CN30" s="23">
        <v>-118</v>
      </c>
      <c r="CO30" s="23">
        <v>-89</v>
      </c>
      <c r="CP30" s="23">
        <v>26</v>
      </c>
      <c r="CQ30" s="23">
        <v>-106</v>
      </c>
      <c r="CR30" s="23">
        <v>-137</v>
      </c>
      <c r="CS30" s="23">
        <v>-198</v>
      </c>
      <c r="CT30" s="23">
        <v>-191</v>
      </c>
      <c r="CU30" s="23">
        <v>-139</v>
      </c>
      <c r="CV30" s="23">
        <v>-167</v>
      </c>
      <c r="CW30" s="23">
        <v>-114</v>
      </c>
      <c r="CX30" s="23">
        <v>-93</v>
      </c>
      <c r="CY30" s="23">
        <v>-105</v>
      </c>
      <c r="CZ30" s="23">
        <v>-56</v>
      </c>
      <c r="DA30" s="23">
        <v>-6</v>
      </c>
      <c r="DB30" s="23">
        <v>93</v>
      </c>
      <c r="DC30" s="23">
        <v>-31</v>
      </c>
      <c r="DD30" s="23">
        <v>-103</v>
      </c>
      <c r="DE30" s="23">
        <v>-191</v>
      </c>
      <c r="DF30" s="23">
        <v>-232</v>
      </c>
      <c r="DG30" s="23">
        <v>-261</v>
      </c>
      <c r="DH30" s="23">
        <v>-149</v>
      </c>
      <c r="DI30" s="23">
        <v>-133</v>
      </c>
      <c r="DJ30" s="23">
        <v>-100</v>
      </c>
      <c r="DK30" s="23">
        <v>-102</v>
      </c>
      <c r="DL30" s="23">
        <v>-27</v>
      </c>
      <c r="DM30" s="23">
        <v>-65</v>
      </c>
      <c r="DN30" s="23">
        <v>0</v>
      </c>
      <c r="DO30" s="23">
        <v>-79</v>
      </c>
      <c r="DP30" s="23">
        <v>-100</v>
      </c>
      <c r="DQ30" s="23">
        <v>-243</v>
      </c>
      <c r="DR30" s="23">
        <v>-344</v>
      </c>
      <c r="DS30" s="23">
        <v>-328</v>
      </c>
      <c r="DT30" s="23">
        <v>-215</v>
      </c>
      <c r="DU30" s="23">
        <v>-240</v>
      </c>
      <c r="DV30" s="23">
        <v>-172</v>
      </c>
      <c r="DW30" s="23">
        <v>-200</v>
      </c>
      <c r="DX30" s="23">
        <v>-63</v>
      </c>
      <c r="DY30" s="23">
        <v>-59</v>
      </c>
      <c r="DZ30" s="23">
        <v>43</v>
      </c>
      <c r="EA30" s="23">
        <v>-94</v>
      </c>
      <c r="EB30" s="23">
        <v>-85</v>
      </c>
      <c r="EC30" s="23">
        <v>-148</v>
      </c>
      <c r="ED30" s="23">
        <v>-251</v>
      </c>
      <c r="EE30" s="23">
        <v>-249</v>
      </c>
      <c r="EF30" s="23">
        <v>-252</v>
      </c>
      <c r="EG30" s="23">
        <v>-159</v>
      </c>
      <c r="EH30" s="23">
        <v>-143</v>
      </c>
      <c r="EI30" s="23">
        <v>-28</v>
      </c>
      <c r="EJ30" s="23">
        <v>-36</v>
      </c>
      <c r="EK30" s="23">
        <v>-25</v>
      </c>
      <c r="EL30" s="23">
        <v>79</v>
      </c>
      <c r="EM30" s="23">
        <v>26</v>
      </c>
      <c r="EN30" s="23">
        <v>-124</v>
      </c>
      <c r="EO30" s="23">
        <v>-99999</v>
      </c>
      <c r="EP30" s="23">
        <v>-253</v>
      </c>
      <c r="EQ30" s="23">
        <v>-236</v>
      </c>
      <c r="ER30" s="23">
        <v>-110</v>
      </c>
      <c r="ES30" s="23">
        <v>-112</v>
      </c>
      <c r="ET30" s="23">
        <v>-81</v>
      </c>
      <c r="EU30" s="23">
        <v>-34</v>
      </c>
      <c r="EV30" s="23">
        <v>-33</v>
      </c>
      <c r="EW30" s="23">
        <v>-25</v>
      </c>
      <c r="EX30" s="23">
        <v>38</v>
      </c>
      <c r="EY30" s="23">
        <v>1</v>
      </c>
      <c r="EZ30" s="23">
        <v>-79</v>
      </c>
      <c r="FA30" s="23">
        <v>-186</v>
      </c>
      <c r="FB30" s="23">
        <v>-177</v>
      </c>
      <c r="FC30" s="23">
        <v>-203</v>
      </c>
      <c r="FD30" s="23">
        <v>-198</v>
      </c>
      <c r="FE30" s="23">
        <v>-169</v>
      </c>
      <c r="FF30" s="23">
        <v>-139</v>
      </c>
      <c r="FG30" s="23">
        <v>-75</v>
      </c>
      <c r="FH30" s="23">
        <v>-73</v>
      </c>
      <c r="FI30" s="23">
        <v>0</v>
      </c>
      <c r="FJ30" s="23">
        <v>39</v>
      </c>
      <c r="FK30" s="23">
        <v>27</v>
      </c>
      <c r="FL30" s="23">
        <v>-40</v>
      </c>
      <c r="FM30" s="23">
        <v>-236</v>
      </c>
      <c r="FN30" s="23">
        <v>-185</v>
      </c>
      <c r="FO30" s="23">
        <v>-106</v>
      </c>
      <c r="FP30" s="23">
        <v>-161</v>
      </c>
      <c r="FQ30" s="23">
        <v>-103</v>
      </c>
      <c r="FR30" s="23">
        <v>-48</v>
      </c>
      <c r="FS30" s="23">
        <v>26</v>
      </c>
      <c r="FT30" s="23">
        <v>42</v>
      </c>
      <c r="FU30" s="23">
        <v>23</v>
      </c>
      <c r="FV30" s="23">
        <v>28</v>
      </c>
      <c r="FW30" s="23">
        <v>-21</v>
      </c>
      <c r="FX30" s="23">
        <v>-58</v>
      </c>
      <c r="FY30" s="23">
        <v>-153</v>
      </c>
      <c r="FZ30" s="23">
        <v>-224</v>
      </c>
      <c r="GA30" s="23">
        <v>-230</v>
      </c>
      <c r="GB30" s="23">
        <v>-165</v>
      </c>
      <c r="GC30" s="23">
        <v>-143</v>
      </c>
      <c r="GD30" s="23">
        <v>-67</v>
      </c>
      <c r="GE30" s="23">
        <v>-90</v>
      </c>
      <c r="GF30" s="23">
        <v>-110</v>
      </c>
      <c r="GG30" s="23">
        <v>-44</v>
      </c>
      <c r="GH30" s="23">
        <v>82</v>
      </c>
      <c r="GI30" s="23">
        <v>-42</v>
      </c>
      <c r="GJ30" s="23">
        <v>-124</v>
      </c>
      <c r="GK30" s="23">
        <v>-195</v>
      </c>
      <c r="GL30" s="23">
        <v>-211</v>
      </c>
      <c r="GM30" s="23">
        <v>-258</v>
      </c>
      <c r="GN30" s="23">
        <v>-243</v>
      </c>
      <c r="GO30" s="23">
        <v>-189</v>
      </c>
      <c r="GP30" s="23">
        <v>-83</v>
      </c>
      <c r="GQ30" s="23">
        <v>-43</v>
      </c>
      <c r="GR30" s="23">
        <v>-50</v>
      </c>
      <c r="GS30" s="23">
        <v>-34</v>
      </c>
      <c r="GT30" s="23">
        <v>-19</v>
      </c>
      <c r="GU30" s="23">
        <v>-25</v>
      </c>
      <c r="GV30" s="23">
        <v>-115</v>
      </c>
      <c r="GW30" s="23">
        <v>-167</v>
      </c>
      <c r="GX30" s="23">
        <v>-263</v>
      </c>
      <c r="GY30" s="23">
        <v>-240</v>
      </c>
      <c r="GZ30" s="23">
        <v>-253</v>
      </c>
      <c r="HA30" s="23">
        <v>-140</v>
      </c>
      <c r="HB30" s="23">
        <v>-87</v>
      </c>
      <c r="HC30" s="23">
        <v>-107</v>
      </c>
      <c r="HD30" s="23">
        <v>-7</v>
      </c>
      <c r="HE30" s="23">
        <v>60</v>
      </c>
      <c r="HF30" s="23">
        <v>109</v>
      </c>
      <c r="HG30" s="23">
        <v>-9</v>
      </c>
      <c r="HH30" s="23">
        <v>-97</v>
      </c>
      <c r="HI30" s="23">
        <v>-199</v>
      </c>
      <c r="HJ30" s="23">
        <v>-291</v>
      </c>
      <c r="HK30" s="23">
        <v>-293</v>
      </c>
      <c r="HL30" s="23">
        <v>-163</v>
      </c>
      <c r="HM30" s="23">
        <v>-142</v>
      </c>
      <c r="HN30" s="23">
        <v>-83</v>
      </c>
      <c r="HO30" s="23">
        <v>11</v>
      </c>
      <c r="HP30" s="23">
        <v>10</v>
      </c>
      <c r="HQ30" s="23">
        <v>5</v>
      </c>
      <c r="HR30" s="23">
        <v>122</v>
      </c>
      <c r="HS30" s="23">
        <v>28</v>
      </c>
      <c r="HT30" s="23">
        <v>-26</v>
      </c>
      <c r="HU30" s="23">
        <v>-79</v>
      </c>
      <c r="HV30" s="23">
        <v>-193</v>
      </c>
      <c r="HW30" s="23">
        <v>-173</v>
      </c>
      <c r="HX30" s="23">
        <v>-99999</v>
      </c>
      <c r="HY30" s="23">
        <v>-143</v>
      </c>
      <c r="HZ30" s="23">
        <v>-72</v>
      </c>
      <c r="IA30" s="23">
        <v>-99999</v>
      </c>
      <c r="IB30" s="23">
        <v>-17</v>
      </c>
      <c r="IC30" s="23">
        <v>28</v>
      </c>
      <c r="ID30" s="23">
        <v>50</v>
      </c>
      <c r="IE30" s="23">
        <v>-47</v>
      </c>
      <c r="IF30" s="23">
        <v>-94</v>
      </c>
      <c r="IG30" s="23">
        <v>-229</v>
      </c>
      <c r="IH30" s="23">
        <v>-240</v>
      </c>
      <c r="II30" s="23">
        <v>-99999</v>
      </c>
      <c r="IJ30" s="23">
        <v>-99999</v>
      </c>
      <c r="IK30" s="23">
        <v>-130</v>
      </c>
      <c r="IL30" s="23">
        <v>-106</v>
      </c>
      <c r="IM30" s="23">
        <v>-77</v>
      </c>
      <c r="IN30" s="23">
        <v>-11</v>
      </c>
      <c r="IO30" s="23">
        <v>-99999</v>
      </c>
      <c r="IP30" s="23">
        <v>-99999</v>
      </c>
      <c r="IQ30" s="23">
        <v>-36</v>
      </c>
      <c r="IR30" s="23">
        <v>-77</v>
      </c>
      <c r="IS30" s="23">
        <v>-143</v>
      </c>
      <c r="IT30" s="23">
        <v>-213</v>
      </c>
      <c r="IU30" s="23">
        <v>-158</v>
      </c>
      <c r="IV30" s="23">
        <v>-134</v>
      </c>
      <c r="IW30" s="23">
        <v>-68</v>
      </c>
      <c r="IX30" s="23">
        <v>-28</v>
      </c>
      <c r="IY30" s="23">
        <v>88</v>
      </c>
      <c r="IZ30" s="23">
        <v>10</v>
      </c>
      <c r="JA30" s="23">
        <v>65</v>
      </c>
      <c r="JB30" s="23">
        <v>32</v>
      </c>
      <c r="JC30" s="23">
        <v>31</v>
      </c>
      <c r="JD30" s="23">
        <v>-4</v>
      </c>
      <c r="JE30" s="23">
        <v>-69</v>
      </c>
      <c r="JF30" s="23">
        <v>-135</v>
      </c>
      <c r="JG30" s="23">
        <v>-140</v>
      </c>
      <c r="JH30" s="23">
        <v>-152</v>
      </c>
      <c r="JI30" s="23">
        <v>-128</v>
      </c>
      <c r="JJ30" s="23">
        <v>-95</v>
      </c>
      <c r="JK30" s="23">
        <v>-32</v>
      </c>
      <c r="JL30" s="23">
        <v>91</v>
      </c>
      <c r="JM30" s="23">
        <v>84</v>
      </c>
      <c r="JN30" s="23">
        <v>106</v>
      </c>
      <c r="JO30" s="23">
        <v>54</v>
      </c>
      <c r="JP30" s="23">
        <v>-66</v>
      </c>
      <c r="JQ30" s="23">
        <v>-90</v>
      </c>
      <c r="JR30" s="23">
        <v>-175</v>
      </c>
      <c r="JS30" s="23">
        <v>-90</v>
      </c>
      <c r="JT30" s="23">
        <v>-102</v>
      </c>
      <c r="JU30" s="23">
        <v>-63</v>
      </c>
      <c r="JV30" s="23">
        <v>-51</v>
      </c>
      <c r="JW30" s="23">
        <v>-38</v>
      </c>
      <c r="JX30" s="23">
        <v>-26</v>
      </c>
      <c r="JY30" s="23">
        <v>28</v>
      </c>
      <c r="JZ30" s="23">
        <v>73</v>
      </c>
      <c r="KA30" s="23">
        <v>43</v>
      </c>
      <c r="KB30" s="23">
        <v>-51</v>
      </c>
      <c r="KC30" s="23">
        <v>-9</v>
      </c>
      <c r="KD30" s="23">
        <v>-118</v>
      </c>
      <c r="KE30" s="23">
        <v>-127</v>
      </c>
      <c r="KF30" s="23">
        <v>-133</v>
      </c>
      <c r="KG30" s="23">
        <v>-46</v>
      </c>
      <c r="KH30" s="23">
        <v>-70</v>
      </c>
      <c r="KI30" s="23">
        <v>-56</v>
      </c>
      <c r="KJ30" s="23">
        <v>9</v>
      </c>
      <c r="KK30" s="23">
        <v>67</v>
      </c>
      <c r="KL30" s="23">
        <v>97</v>
      </c>
      <c r="KM30" s="23">
        <v>149</v>
      </c>
      <c r="KN30" s="23">
        <v>17</v>
      </c>
      <c r="KO30" s="23">
        <v>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23"/>
  <sheetViews>
    <sheetView workbookViewId="0">
      <selection activeCell="S12" sqref="S12"/>
    </sheetView>
  </sheetViews>
  <sheetFormatPr defaultColWidth="3.59765625" defaultRowHeight="15.6"/>
  <cols>
    <col min="1" max="1" width="9" customWidth="1"/>
  </cols>
  <sheetData>
    <row r="1" spans="2:22">
      <c r="B1" s="18" t="s">
        <v>13</v>
      </c>
      <c r="C1" s="11" t="s">
        <v>17</v>
      </c>
    </row>
    <row r="3" spans="2:22">
      <c r="C3">
        <v>1</v>
      </c>
      <c r="D3">
        <f>C3+1</f>
        <v>2</v>
      </c>
      <c r="E3">
        <f t="shared" ref="E3:V3" si="0">D3+1</f>
        <v>3</v>
      </c>
      <c r="F3">
        <f t="shared" si="0"/>
        <v>4</v>
      </c>
      <c r="G3">
        <f t="shared" si="0"/>
        <v>5</v>
      </c>
      <c r="H3">
        <f t="shared" si="0"/>
        <v>6</v>
      </c>
      <c r="I3">
        <f t="shared" si="0"/>
        <v>7</v>
      </c>
      <c r="J3">
        <f t="shared" si="0"/>
        <v>8</v>
      </c>
      <c r="K3">
        <f t="shared" si="0"/>
        <v>9</v>
      </c>
      <c r="L3">
        <f t="shared" si="0"/>
        <v>10</v>
      </c>
      <c r="M3">
        <f t="shared" si="0"/>
        <v>11</v>
      </c>
      <c r="N3">
        <f t="shared" si="0"/>
        <v>12</v>
      </c>
      <c r="O3">
        <f t="shared" si="0"/>
        <v>13</v>
      </c>
      <c r="P3">
        <f t="shared" si="0"/>
        <v>14</v>
      </c>
      <c r="Q3">
        <f t="shared" si="0"/>
        <v>15</v>
      </c>
      <c r="R3">
        <f t="shared" si="0"/>
        <v>16</v>
      </c>
      <c r="S3">
        <f t="shared" si="0"/>
        <v>17</v>
      </c>
      <c r="T3">
        <f t="shared" si="0"/>
        <v>18</v>
      </c>
      <c r="U3">
        <f t="shared" si="0"/>
        <v>19</v>
      </c>
      <c r="V3">
        <f t="shared" si="0"/>
        <v>20</v>
      </c>
    </row>
    <row r="4" spans="2:22">
      <c r="B4">
        <v>1</v>
      </c>
      <c r="C4" s="17"/>
      <c r="D4" s="18" t="s">
        <v>13</v>
      </c>
    </row>
    <row r="5" spans="2:22">
      <c r="B5">
        <f>B4+1</f>
        <v>2</v>
      </c>
      <c r="C5" s="18" t="s">
        <v>13</v>
      </c>
      <c r="D5" s="17"/>
    </row>
    <row r="6" spans="2:22">
      <c r="B6">
        <f t="shared" ref="B6:B23" si="1">B5+1</f>
        <v>3</v>
      </c>
      <c r="E6" s="17"/>
    </row>
    <row r="7" spans="2:22">
      <c r="B7">
        <f t="shared" si="1"/>
        <v>4</v>
      </c>
      <c r="F7" s="17"/>
      <c r="G7" s="18" t="s">
        <v>13</v>
      </c>
    </row>
    <row r="8" spans="2:22">
      <c r="B8">
        <f t="shared" si="1"/>
        <v>5</v>
      </c>
      <c r="F8" s="18" t="s">
        <v>13</v>
      </c>
      <c r="G8" s="17"/>
      <c r="H8" s="18" t="s">
        <v>13</v>
      </c>
    </row>
    <row r="9" spans="2:22">
      <c r="B9">
        <f t="shared" si="1"/>
        <v>6</v>
      </c>
      <c r="G9" s="18" t="s">
        <v>13</v>
      </c>
      <c r="H9" s="17"/>
      <c r="J9" s="18" t="s">
        <v>13</v>
      </c>
    </row>
    <row r="10" spans="2:22">
      <c r="B10">
        <f t="shared" si="1"/>
        <v>7</v>
      </c>
      <c r="I10" s="17"/>
      <c r="J10" s="18" t="s">
        <v>13</v>
      </c>
    </row>
    <row r="11" spans="2:22">
      <c r="B11">
        <f t="shared" si="1"/>
        <v>8</v>
      </c>
      <c r="H11" s="18" t="s">
        <v>13</v>
      </c>
      <c r="I11" s="18" t="s">
        <v>13</v>
      </c>
      <c r="J11" s="17"/>
      <c r="K11" s="18" t="s">
        <v>13</v>
      </c>
    </row>
    <row r="12" spans="2:22">
      <c r="B12">
        <f t="shared" si="1"/>
        <v>9</v>
      </c>
      <c r="J12" s="18" t="s">
        <v>13</v>
      </c>
      <c r="K12" s="17"/>
      <c r="L12" s="18" t="s">
        <v>13</v>
      </c>
      <c r="M12" s="18" t="s">
        <v>13</v>
      </c>
    </row>
    <row r="13" spans="2:22">
      <c r="B13">
        <f t="shared" si="1"/>
        <v>10</v>
      </c>
      <c r="K13" s="18" t="s">
        <v>13</v>
      </c>
      <c r="L13" s="17"/>
      <c r="M13" s="18" t="s">
        <v>13</v>
      </c>
    </row>
    <row r="14" spans="2:22">
      <c r="B14">
        <f t="shared" si="1"/>
        <v>11</v>
      </c>
      <c r="K14" s="18" t="s">
        <v>13</v>
      </c>
      <c r="L14" s="18" t="s">
        <v>13</v>
      </c>
      <c r="M14" s="17"/>
      <c r="N14" s="18" t="s">
        <v>13</v>
      </c>
    </row>
    <row r="15" spans="2:22">
      <c r="B15">
        <f t="shared" si="1"/>
        <v>12</v>
      </c>
      <c r="M15" s="18" t="s">
        <v>13</v>
      </c>
      <c r="N15" s="17"/>
    </row>
    <row r="16" spans="2:22">
      <c r="B16">
        <f t="shared" si="1"/>
        <v>13</v>
      </c>
      <c r="O16" s="17"/>
      <c r="P16" s="18" t="s">
        <v>13</v>
      </c>
    </row>
    <row r="17" spans="2:22">
      <c r="B17">
        <f t="shared" si="1"/>
        <v>14</v>
      </c>
      <c r="O17" s="18" t="s">
        <v>13</v>
      </c>
      <c r="P17" s="17"/>
      <c r="Q17" s="18" t="s">
        <v>13</v>
      </c>
    </row>
    <row r="18" spans="2:22">
      <c r="B18">
        <f t="shared" si="1"/>
        <v>15</v>
      </c>
      <c r="P18" s="18" t="s">
        <v>13</v>
      </c>
      <c r="Q18" s="17"/>
      <c r="T18" s="18" t="s">
        <v>13</v>
      </c>
    </row>
    <row r="19" spans="2:22">
      <c r="B19">
        <f t="shared" si="1"/>
        <v>16</v>
      </c>
      <c r="R19" s="17"/>
      <c r="S19" s="18" t="s">
        <v>13</v>
      </c>
      <c r="T19" s="18" t="s">
        <v>13</v>
      </c>
    </row>
    <row r="20" spans="2:22">
      <c r="B20">
        <f t="shared" si="1"/>
        <v>17</v>
      </c>
      <c r="R20" s="18" t="s">
        <v>13</v>
      </c>
      <c r="S20" s="17"/>
      <c r="T20" s="18" t="s">
        <v>13</v>
      </c>
      <c r="U20" s="18" t="s">
        <v>13</v>
      </c>
      <c r="V20" s="18" t="s">
        <v>13</v>
      </c>
    </row>
    <row r="21" spans="2:22">
      <c r="B21">
        <f t="shared" si="1"/>
        <v>18</v>
      </c>
      <c r="Q21" s="18" t="s">
        <v>13</v>
      </c>
      <c r="R21" s="18" t="s">
        <v>13</v>
      </c>
      <c r="S21" s="18" t="s">
        <v>13</v>
      </c>
      <c r="T21" s="17"/>
      <c r="U21" s="18" t="s">
        <v>13</v>
      </c>
    </row>
    <row r="22" spans="2:22">
      <c r="B22">
        <f t="shared" si="1"/>
        <v>19</v>
      </c>
      <c r="S22" s="18" t="s">
        <v>13</v>
      </c>
      <c r="T22" s="18" t="s">
        <v>13</v>
      </c>
      <c r="U22" s="17"/>
      <c r="V22" s="18" t="s">
        <v>13</v>
      </c>
    </row>
    <row r="23" spans="2:22">
      <c r="B23">
        <f t="shared" si="1"/>
        <v>20</v>
      </c>
      <c r="S23" s="18" t="s">
        <v>13</v>
      </c>
      <c r="U23" s="18" t="s">
        <v>13</v>
      </c>
      <c r="V23" s="17"/>
    </row>
  </sheetData>
  <phoneticPr fontId="8" type="noConversion"/>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2"/>
  <sheetViews>
    <sheetView workbookViewId="0">
      <selection activeCell="B13" sqref="B13"/>
    </sheetView>
  </sheetViews>
  <sheetFormatPr defaultColWidth="8.84765625" defaultRowHeight="15.6"/>
  <cols>
    <col min="1" max="1" width="32" customWidth="1"/>
    <col min="2" max="2" width="26.09765625" customWidth="1"/>
    <col min="6" max="6" width="13.59765625" bestFit="1" customWidth="1"/>
  </cols>
  <sheetData>
    <row r="1" spans="1:2" ht="36" customHeight="1">
      <c r="A1" s="19" t="s">
        <v>0</v>
      </c>
      <c r="B1" s="16" t="s">
        <v>14</v>
      </c>
    </row>
    <row r="2" spans="1:2">
      <c r="A2" s="12">
        <v>1</v>
      </c>
      <c r="B2" s="20" t="s">
        <v>15</v>
      </c>
    </row>
    <row r="3" spans="1:2">
      <c r="A3" s="12">
        <v>2</v>
      </c>
      <c r="B3" s="20" t="s">
        <v>15</v>
      </c>
    </row>
    <row r="4" spans="1:2">
      <c r="A4" s="12">
        <v>3</v>
      </c>
      <c r="B4" s="20" t="s">
        <v>15</v>
      </c>
    </row>
    <row r="5" spans="1:2">
      <c r="A5" s="12">
        <v>4</v>
      </c>
      <c r="B5" s="21" t="s">
        <v>15</v>
      </c>
    </row>
    <row r="6" spans="1:2">
      <c r="A6" s="12">
        <v>5</v>
      </c>
      <c r="B6" s="20" t="s">
        <v>15</v>
      </c>
    </row>
    <row r="7" spans="1:2">
      <c r="A7" s="12">
        <v>6</v>
      </c>
      <c r="B7" s="20" t="s">
        <v>15</v>
      </c>
    </row>
    <row r="8" spans="1:2">
      <c r="A8" s="12">
        <v>7</v>
      </c>
      <c r="B8" s="20" t="s">
        <v>15</v>
      </c>
    </row>
    <row r="9" spans="1:2">
      <c r="A9" s="12">
        <v>8</v>
      </c>
      <c r="B9" s="20" t="s">
        <v>15</v>
      </c>
    </row>
    <row r="10" spans="1:2">
      <c r="A10" s="12">
        <v>9</v>
      </c>
      <c r="B10" s="20" t="s">
        <v>15</v>
      </c>
    </row>
    <row r="11" spans="1:2">
      <c r="A11" s="12">
        <v>10</v>
      </c>
      <c r="B11" s="20" t="s">
        <v>15</v>
      </c>
    </row>
    <row r="12" spans="1:2">
      <c r="A12" s="12">
        <v>11</v>
      </c>
      <c r="B12" s="20" t="s">
        <v>15</v>
      </c>
    </row>
    <row r="13" spans="1:2">
      <c r="A13" s="12">
        <v>12</v>
      </c>
      <c r="B13" s="20" t="s">
        <v>15</v>
      </c>
    </row>
    <row r="14" spans="1:2">
      <c r="A14" s="12">
        <v>13</v>
      </c>
      <c r="B14" s="20" t="s">
        <v>15</v>
      </c>
    </row>
    <row r="15" spans="1:2">
      <c r="A15" s="12">
        <v>14</v>
      </c>
      <c r="B15" s="20" t="s">
        <v>15</v>
      </c>
    </row>
    <row r="16" spans="1:2">
      <c r="A16" s="12">
        <v>15</v>
      </c>
      <c r="B16" s="20" t="s">
        <v>15</v>
      </c>
    </row>
    <row r="17" spans="1:2">
      <c r="A17" s="12">
        <v>16</v>
      </c>
      <c r="B17" s="20" t="s">
        <v>15</v>
      </c>
    </row>
    <row r="18" spans="1:2">
      <c r="A18" s="12">
        <v>17</v>
      </c>
      <c r="B18" s="20" t="s">
        <v>15</v>
      </c>
    </row>
    <row r="19" spans="1:2">
      <c r="A19" s="12">
        <v>18</v>
      </c>
      <c r="B19" s="20" t="s">
        <v>15</v>
      </c>
    </row>
    <row r="20" spans="1:2">
      <c r="A20" s="12">
        <v>19</v>
      </c>
      <c r="B20" s="20" t="s">
        <v>15</v>
      </c>
    </row>
    <row r="21" spans="1:2">
      <c r="A21" s="12">
        <v>20</v>
      </c>
      <c r="B21" s="20" t="s">
        <v>15</v>
      </c>
    </row>
    <row r="22" spans="1:2">
      <c r="A22" s="2"/>
    </row>
  </sheetData>
  <phoneticPr fontId="8" type="noConversion"/>
  <dataValidations count="1">
    <dataValidation type="list" allowBlank="1" showInputMessage="1" showErrorMessage="1" sqref="B2:B21">
      <formula1>$F$2:$F$8</formula1>
    </dataValidation>
  </dataValidation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vt:i4>
      </vt:variant>
    </vt:vector>
  </HeadingPairs>
  <TitlesOfParts>
    <vt:vector size="5" baseType="lpstr">
      <vt:lpstr>Current Environmental Data</vt:lpstr>
      <vt:lpstr>Historical Sea Level Data</vt:lpstr>
      <vt:lpstr>Zone Adjacency Matrix</vt:lpstr>
      <vt:lpstr>Allocation of Zones</vt:lpstr>
      <vt:lpstr>CoastalZones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Schwartz</dc:creator>
  <cp:lastModifiedBy>Siyi Guo</cp:lastModifiedBy>
  <dcterms:created xsi:type="dcterms:W3CDTF">2017-01-15T02:24:24Z</dcterms:created>
  <dcterms:modified xsi:type="dcterms:W3CDTF">2017-04-06T08:39:29Z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d00ec6cd-24da-445c-910f-41f3fdb78b5a</vt:lpwstr>
  </property>
</Properties>
</file>